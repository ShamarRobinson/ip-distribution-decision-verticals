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nt Unit Econ" sheetId="3" state="visible" r:id="rId3"/>
    <sheet xmlns:r="http://schemas.openxmlformats.org/officeDocument/2006/relationships" name="Ebook Unit Econ" sheetId="4" state="visible" r:id="rId4"/>
    <sheet xmlns:r="http://schemas.openxmlformats.org/officeDocument/2006/relationships" name="Fixed Costs" sheetId="5" state="visible" r:id="rId5"/>
    <sheet xmlns:r="http://schemas.openxmlformats.org/officeDocument/2006/relationships" name="Monthly Scenario" sheetId="6" state="visible" r:id="rId6"/>
    <sheet xmlns:r="http://schemas.openxmlformats.org/officeDocument/2006/relationships" name="Volume Sensitivity" sheetId="7" state="visible" r:id="rId7"/>
    <sheet xmlns:r="http://schemas.openxmlformats.org/officeDocument/2006/relationships" name="Source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.00;&quot;($&quot;#,##0.00\);\-"/>
    <numFmt numFmtId="165" formatCode="\$#,##0.00"/>
    <numFmt numFmtId="166" formatCode="0.0%"/>
    <numFmt numFmtId="167" formatCode="0.000%"/>
    <numFmt numFmtId="168" formatCode="\$#,##0"/>
    <numFmt numFmtId="169" formatCode="0.0%;\(0.0%\);\-"/>
    <numFmt numFmtId="170" formatCode="\$#,##0;&quot;($&quot;#,##0\);\-"/>
    <numFmt numFmtId="171" formatCode="#,##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color theme="1"/>
      <sz val="11"/>
    </font>
    <font>
      <name val="Arial"/>
      <charset val="1"/>
      <family val="0"/>
      <i val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i val="1"/>
      <color rgb="FFC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8000"/>
      <sz val="11"/>
    </font>
    <font>
      <name val="Arial"/>
      <charset val="1"/>
      <family val="0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FF"/>
      <sz val="11"/>
    </font>
    <font>
      <name val="Arial"/>
      <charset val="1"/>
      <family val="0"/>
      <color rgb="FF0563C1"/>
      <sz val="11"/>
      <u val="single"/>
    </font>
    <font>
      <name val="Arial"/>
      <i val="1"/>
      <color rgb="00C0000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right" vertical="bottom"/>
    </xf>
    <xf numFmtId="1" fontId="11" fillId="0" borderId="1" applyAlignment="1" pivotButton="0" quotePrefix="0" xfId="0">
      <alignment horizontal="right" vertical="bottom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7" fillId="4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6" fontId="17" fillId="0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6" fontId="17" fillId="4" borderId="1" applyAlignment="1" pivotButton="0" quotePrefix="0" xfId="0">
      <alignment horizontal="general" vertical="bottom"/>
    </xf>
    <xf numFmtId="167" fontId="17" fillId="0" borderId="1" applyAlignment="1" pivotButton="0" quotePrefix="0" xfId="0">
      <alignment horizontal="general" vertical="bottom"/>
    </xf>
    <xf numFmtId="168" fontId="17" fillId="4" borderId="1" applyAlignment="1" pivotButton="0" quotePrefix="0" xfId="0">
      <alignment horizontal="general" vertical="bottom"/>
    </xf>
    <xf numFmtId="168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170" fontId="12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71" fontId="10" fillId="0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right" vertical="bottom"/>
    </xf>
    <xf numFmtId="1" fontId="11" fillId="0" borderId="1" applyAlignment="1" pivotButton="0" quotePrefix="0" xfId="0">
      <alignment horizontal="right" vertical="bottom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6" fontId="17" fillId="0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6" fontId="17" fillId="4" borderId="1" applyAlignment="1" pivotButton="0" quotePrefix="0" xfId="0">
      <alignment horizontal="general" vertical="bottom"/>
    </xf>
    <xf numFmtId="167" fontId="17" fillId="0" borderId="1" applyAlignment="1" pivotButton="0" quotePrefix="0" xfId="0">
      <alignment horizontal="general" vertical="bottom"/>
    </xf>
    <xf numFmtId="168" fontId="17" fillId="4" borderId="1" applyAlignment="1" pivotButton="0" quotePrefix="0" xfId="0">
      <alignment horizontal="general" vertical="bottom"/>
    </xf>
    <xf numFmtId="168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170" fontId="12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71" fontId="10" fillId="0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Year-1 net after fixed costs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Summary!G5</f>
              <strCache>
                <ptCount val="1"/>
                <pt idx="0">
                  <v>Year-1 net after fixed costs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Summary!$A$6:$A$11</f>
              <strCache>
                <ptCount val="6"/>
                <pt idx="0">
                  <v>Amazon KDP</v>
                </pt>
                <pt idx="1">
                  <v>IngramSpark</v>
                </pt>
                <pt idx="2">
                  <v>B&amp;N Press</v>
                </pt>
                <pt idx="3">
                  <v>Lulu</v>
                </pt>
                <pt idx="4">
                  <v>PublishDrive</v>
                </pt>
                <pt idx="5">
                  <v>Draft2Digital</v>
                </pt>
              </strCache>
            </strRef>
          </cat>
          <val>
            <numRef>
              <f>Summary!$G$6:$G$11</f>
              <numCache>
                <formatCode>\$#,##0.00;"($"#,##0.00\);\-</formatCode>
                <ptCount val="6"/>
                <pt idx="0">
                  <v>6046.2</v>
                </pt>
                <pt idx="1">
                  <v>3652.5925</v>
                </pt>
                <pt idx="2">
                  <v>5477.5</v>
                </pt>
                <pt idx="3">
                  <v>2863.2</v>
                </pt>
                <pt idx="4">
                  <v>3990.22</v>
                </pt>
                <pt idx="5">
                  <v>1866.22</v>
                </pt>
              </numCache>
            </numRef>
          </val>
        </ser>
        <gapWidth val="150"/>
        <overlap val="0"/>
        <axId val="53472724"/>
        <axId val="53561847"/>
      </barChart>
      <catAx>
        <axId val="5347272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3561847"/>
        <crosses val="autoZero"/>
        <auto val="1"/>
        <lblAlgn val="ctr"/>
        <lblOffset val="100"/>
        <noMultiLvlLbl val="0"/>
      </catAx>
      <valAx>
        <axId val="535618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.00;&quot;($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347272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Net royalty per print unit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'Print Unit Econ'!G4</f>
              <strCache>
                <ptCount val="1"/>
                <pt idx="0">
                  <v>Net royalty per unit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'Print Unit Econ'!$A$5:$A$11</f>
              <strCache>
                <ptCount val="7"/>
                <pt idx="0">
                  <v>Amazon KDP</v>
                </pt>
                <pt idx="1">
                  <v>KDP Expanded Distribution</v>
                </pt>
                <pt idx="2">
                  <v>IngramSpark</v>
                </pt>
                <pt idx="3">
                  <v>B&amp;N Press</v>
                </pt>
                <pt idx="4">
                  <v>Lulu Bookstore</v>
                </pt>
                <pt idx="5">
                  <v>Lulu (Retail)</v>
                </pt>
                <pt idx="6">
                  <v>PublishDrive</v>
                </pt>
              </strCache>
            </strRef>
          </cat>
          <val>
            <numRef>
              <f>'Print Unit Econ'!$G$5:$G$11</f>
              <numCache>
                <formatCode>\$#,##0.00;"($"#,##0.00\);\-</formatCode>
                <ptCount val="7"/>
                <pt idx="0">
                  <v>6.794</v>
                </pt>
                <pt idx="1">
                  <v>3.396</v>
                </pt>
                <pt idx="2">
                  <v>3.3269375</v>
                </pt>
                <pt idx="3">
                  <v>5.8445</v>
                </pt>
                <pt idx="4">
                  <v>9.592000000000001</v>
                </pt>
                <pt idx="5">
                  <v>2.796</v>
                </pt>
                <pt idx="6">
                  <v>3.6455</v>
                </pt>
              </numCache>
            </numRef>
          </val>
        </ser>
        <gapWidth val="150"/>
        <overlap val="0"/>
        <axId val="14274948"/>
        <axId val="83975191"/>
      </barChart>
      <catAx>
        <axId val="142749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3975191"/>
        <crosses val="autoZero"/>
        <auto val="1"/>
        <lblAlgn val="ctr"/>
        <lblOffset val="100"/>
        <noMultiLvlLbl val="0"/>
      </catAx>
      <valAx>
        <axId val="83975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.00;&quot;($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42749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Net royalty per ebook unit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'Ebook Unit Econ'!G4</f>
              <strCache>
                <ptCount val="1"/>
                <pt idx="0">
                  <v>Net royalty per unit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'Ebook Unit Econ'!$A$5:$A$11</f>
              <strCache>
                <ptCount val="7"/>
                <pt idx="0">
                  <v>Amazon KDP</v>
                </pt>
                <pt idx="1">
                  <v>Apple Books (direct)</v>
                </pt>
                <pt idx="2">
                  <v>B&amp;N Press</v>
                </pt>
                <pt idx="3">
                  <v>Draft2Digital (via Apple)</v>
                </pt>
                <pt idx="4">
                  <v>IngramSpark (via Apple)</v>
                </pt>
                <pt idx="5">
                  <v>PublishDrive (via Apple)</v>
                </pt>
                <pt idx="6">
                  <v>Lulu (Retail)</v>
                </pt>
              </strCache>
            </strRef>
          </cat>
          <val>
            <numRef>
              <f>'Ebook Unit Econ'!$G$5:$G$11</f>
              <numCache>
                <formatCode>\$#,##0.00;"($"#,##0.00\);\-</formatCode>
                <ptCount val="7"/>
                <pt idx="0">
                  <v>3.283</v>
                </pt>
                <pt idx="1">
                  <v>3.493</v>
                </pt>
                <pt idx="2">
                  <v>3.493</v>
                </pt>
                <pt idx="3">
                  <v>3.1437</v>
                </pt>
                <pt idx="4">
                  <v>2.96905</v>
                </pt>
                <pt idx="5">
                  <v>3.493</v>
                </pt>
                <pt idx="6">
                  <v>1.996</v>
                </pt>
              </numCache>
            </numRef>
          </val>
        </ser>
        <gapWidth val="150"/>
        <overlap val="0"/>
        <axId val="35356178"/>
        <axId val="58806989"/>
      </barChart>
      <catAx>
        <axId val="353561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806989"/>
        <crosses val="autoZero"/>
        <auto val="1"/>
        <lblAlgn val="ctr"/>
        <lblOffset val="100"/>
        <noMultiLvlLbl val="0"/>
      </catAx>
      <valAx>
        <axId val="5880698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.00;&quot;($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535617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19</row>
      <rowOff>130680</rowOff>
    </from>
    <to>
      <col>6</col>
      <colOff>64800</colOff>
      <row>34</row>
      <rowOff>151920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18</row>
      <rowOff>160560</rowOff>
    </from>
    <to>
      <col>6</col>
      <colOff>261360</colOff>
      <row>33</row>
      <rowOff>182160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0</colOff>
      <row>17</row>
      <rowOff>160560</rowOff>
    </from>
    <to>
      <col>6</col>
      <colOff>542880</colOff>
      <row>32</row>
      <rowOff>182160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help.ingramspark.com/hc/en-us/articles/41657495062029-Changes-in-Print-Cost-Market-Access-Fee-and-More" TargetMode="External" Id="rId1"/><Relationship Type="http://schemas.openxmlformats.org/officeDocument/2006/relationships/hyperlink" Target="https://www.ingramspark.com/" TargetMode="External" Id="rId2"/><Relationship Type="http://schemas.openxmlformats.org/officeDocument/2006/relationships/hyperlink" Target="https://scribecount.com/author-resource/publishing-a-book/How-to-Publish-on-IngramSpark" TargetMode="External" Id="rId3"/><Relationship Type="http://schemas.openxmlformats.org/officeDocument/2006/relationships/hyperlink" Target="https://danieljtortora.com/blog/self-publishing-royalties" TargetMode="External" Id="rId4"/><Relationship Type="http://schemas.openxmlformats.org/officeDocument/2006/relationships/hyperlink" Target="https://profitable.app/tools/kdp-royalty-calculator" TargetMode="External" Id="rId5"/><Relationship Type="http://schemas.openxmlformats.org/officeDocument/2006/relationships/hyperlink" Target="https://www.vappingo.com/word-blog/kdp-print-royalties/" TargetMode="External" Id="rId6"/><Relationship Type="http://schemas.openxmlformats.org/officeDocument/2006/relationships/hyperlink" Target="https://bestwriting.com/kdp-royalties" TargetMode="External" Id="rId7"/><Relationship Type="http://schemas.openxmlformats.org/officeDocument/2006/relationships/hyperlink" Target="https://help-press.barnesandnoble.com/hc/en-us/articles/5359658688923-Getting-Paid-for-Sales" TargetMode="External" Id="rId8"/><Relationship Type="http://schemas.openxmlformats.org/officeDocument/2006/relationships/hyperlink" Target="https://blog.chapter.pub/lulu-pricing/" TargetMode="External" Id="rId9"/><Relationship Type="http://schemas.openxmlformats.org/officeDocument/2006/relationships/hyperlink" Target="https://help.publishdrive.com/how-much-publishdrives-distribution-pricing-plans" TargetMode="External" Id="rId10"/><Relationship Type="http://schemas.openxmlformats.org/officeDocument/2006/relationships/hyperlink" Target="https://publishdrive.com/publishdrive-vs-ingramspark-2026-pricing-royalties-distribution-and-features-compared.html" TargetMode="External" Id="rId11"/><Relationship Type="http://schemas.openxmlformats.org/officeDocument/2006/relationships/hyperlink" Target="https://publishdrive.com/comparison-guide-publishdrive-vs-draft2digital.html" TargetMode="External" Id="rId12"/><Relationship Type="http://schemas.openxmlformats.org/officeDocument/2006/relationships/hyperlink" Target="https://scribecount.com/tools/platform-comparison" TargetMode="External" Id="rId1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3" customWidth="1" style="39" min="2" max="2"/>
    <col width="15" customWidth="1" style="39" min="3" max="3"/>
    <col width="13" customWidth="1" style="39" min="4" max="4"/>
    <col width="15" customWidth="1" style="39" min="5" max="5"/>
    <col width="13" customWidth="1" style="39" min="6" max="6"/>
    <col width="16" customWidth="1" style="39" min="7" max="8"/>
    <col width="7" customWidth="1" style="39" min="9" max="9"/>
  </cols>
  <sheetData>
    <row r="1" ht="19.5" customHeight="1" s="40">
      <c r="A1" s="41" t="inlineStr">
        <is>
          <t>IP Distribution Decision Verticals: Cost Variance Model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</row>
    <row r="2" ht="15" customHeight="1" s="40">
      <c r="A2" s="43">
        <f>"Paperback $"&amp;TEXT(Assumptions!$B$6,"0.00")&amp;", "&amp;Assumptions!$B$7&amp;" pages   |   Ebook $"&amp;TEXT(Assumptions!$B$8,"0.00")&amp;"   |   "&amp;Assumptions!$B$10&amp;" print + "&amp;Assumptions!$B$11&amp;" ebook units/mo"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</row>
    <row r="3" ht="15" customHeight="1" s="40">
      <c r="A3" s="44" t="inlineStr">
        <is>
          <t>Edit inputs on the Assumptions sheet. Everything on this page recalculates.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5" customHeight="1" s="40">
      <c r="A4" s="45" t="inlineStr">
        <is>
          <t>Prices, fees and rates as of October 11, 2026. Refreshed quarterly; next refresh January 11, 2027.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</row>
    <row r="5" ht="31.5" customHeight="1" s="40">
      <c r="A5" s="46" t="inlineStr">
        <is>
          <t>Platform</t>
        </is>
      </c>
      <c r="B5" s="46" t="inlineStr">
        <is>
          <t>Print net / unit</t>
        </is>
      </c>
      <c r="C5" s="46" t="inlineStr">
        <is>
          <t>Print variance vs baseline</t>
        </is>
      </c>
      <c r="D5" s="46" t="inlineStr">
        <is>
          <t>Ebook net / unit</t>
        </is>
      </c>
      <c r="E5" s="46" t="inlineStr">
        <is>
          <t>Ebook variance vs baseline</t>
        </is>
      </c>
      <c r="F5" s="46" t="inlineStr">
        <is>
          <t>Year-1 fixed costs</t>
        </is>
      </c>
      <c r="G5" s="46" t="inlineStr">
        <is>
          <t>Year-1 net after fixed costs</t>
        </is>
      </c>
      <c r="H5" s="46" t="inlineStr">
        <is>
          <t>Year-1 variance vs baseline</t>
        </is>
      </c>
      <c r="I5" s="46" t="inlineStr">
        <is>
          <t>Rank</t>
        </is>
      </c>
    </row>
    <row r="6" ht="15" customHeight="1" s="40">
      <c r="A6" s="47" t="inlineStr">
        <is>
          <t>Amazon KDP</t>
        </is>
      </c>
      <c r="B6" s="48">
        <f>'Monthly Scenario'!D5</f>
        <v/>
      </c>
      <c r="C6" s="48">
        <f>INDEX('Print Unit Econ'!$I$5:$I$11,MATCH('Monthly Scenario'!B5,'Print Unit Econ'!$A$5:$A$11,0))</f>
        <v/>
      </c>
      <c r="D6" s="48">
        <f>'Monthly Scenario'!E5</f>
        <v/>
      </c>
      <c r="E6" s="48">
        <f>INDEX('Ebook Unit Econ'!$I$5:$I$11,MATCH('Monthly Scenario'!C5,'Ebook Unit Econ'!$A$5:$A$11,0))</f>
        <v/>
      </c>
      <c r="F6" s="48">
        <f>'Fixed Costs'!J5</f>
        <v/>
      </c>
      <c r="G6" s="48">
        <f>'Monthly Scenario'!M5</f>
        <v/>
      </c>
      <c r="H6" s="48">
        <f>'Monthly Scenario'!N5</f>
        <v/>
      </c>
      <c r="I6" s="49">
        <f>'Monthly Scenario'!O5</f>
        <v/>
      </c>
    </row>
    <row r="7" ht="15" customHeight="1" s="40">
      <c r="A7" s="47" t="inlineStr">
        <is>
          <t>IngramSpark</t>
        </is>
      </c>
      <c r="B7" s="48">
        <f>'Monthly Scenario'!D6</f>
        <v/>
      </c>
      <c r="C7" s="48">
        <f>INDEX('Print Unit Econ'!$I$5:$I$11,MATCH('Monthly Scenario'!B6,'Print Unit Econ'!$A$5:$A$11,0))</f>
        <v/>
      </c>
      <c r="D7" s="48">
        <f>'Monthly Scenario'!E6</f>
        <v/>
      </c>
      <c r="E7" s="48">
        <f>INDEX('Ebook Unit Econ'!$I$5:$I$11,MATCH('Monthly Scenario'!C6,'Ebook Unit Econ'!$A$5:$A$11,0))</f>
        <v/>
      </c>
      <c r="F7" s="48">
        <f>'Fixed Costs'!J6</f>
        <v/>
      </c>
      <c r="G7" s="48">
        <f>'Monthly Scenario'!M6</f>
        <v/>
      </c>
      <c r="H7" s="48">
        <f>'Monthly Scenario'!N6</f>
        <v/>
      </c>
      <c r="I7" s="49">
        <f>'Monthly Scenario'!O6</f>
        <v/>
      </c>
    </row>
    <row r="8" ht="15" customHeight="1" s="40">
      <c r="A8" s="47" t="inlineStr">
        <is>
          <t>B&amp;N Press</t>
        </is>
      </c>
      <c r="B8" s="48">
        <f>'Monthly Scenario'!D7</f>
        <v/>
      </c>
      <c r="C8" s="48">
        <f>INDEX('Print Unit Econ'!$I$5:$I$11,MATCH('Monthly Scenario'!B7,'Print Unit Econ'!$A$5:$A$11,0))</f>
        <v/>
      </c>
      <c r="D8" s="48">
        <f>'Monthly Scenario'!E7</f>
        <v/>
      </c>
      <c r="E8" s="48">
        <f>INDEX('Ebook Unit Econ'!$I$5:$I$11,MATCH('Monthly Scenario'!C7,'Ebook Unit Econ'!$A$5:$A$11,0))</f>
        <v/>
      </c>
      <c r="F8" s="48">
        <f>'Fixed Costs'!J7</f>
        <v/>
      </c>
      <c r="G8" s="48">
        <f>'Monthly Scenario'!M7</f>
        <v/>
      </c>
      <c r="H8" s="48">
        <f>'Monthly Scenario'!N7</f>
        <v/>
      </c>
      <c r="I8" s="49">
        <f>'Monthly Scenario'!O7</f>
        <v/>
      </c>
    </row>
    <row r="9" ht="15" customHeight="1" s="40">
      <c r="A9" s="47" t="inlineStr">
        <is>
          <t>Lulu</t>
        </is>
      </c>
      <c r="B9" s="48">
        <f>'Monthly Scenario'!D8</f>
        <v/>
      </c>
      <c r="C9" s="48">
        <f>INDEX('Print Unit Econ'!$I$5:$I$11,MATCH('Monthly Scenario'!B8,'Print Unit Econ'!$A$5:$A$11,0))</f>
        <v/>
      </c>
      <c r="D9" s="48">
        <f>'Monthly Scenario'!E8</f>
        <v/>
      </c>
      <c r="E9" s="48">
        <f>INDEX('Ebook Unit Econ'!$I$5:$I$11,MATCH('Monthly Scenario'!C8,'Ebook Unit Econ'!$A$5:$A$11,0))</f>
        <v/>
      </c>
      <c r="F9" s="48">
        <f>'Fixed Costs'!J8</f>
        <v/>
      </c>
      <c r="G9" s="48">
        <f>'Monthly Scenario'!M8</f>
        <v/>
      </c>
      <c r="H9" s="48">
        <f>'Monthly Scenario'!N8</f>
        <v/>
      </c>
      <c r="I9" s="49">
        <f>'Monthly Scenario'!O8</f>
        <v/>
      </c>
    </row>
    <row r="10" ht="15" customHeight="1" s="40">
      <c r="A10" s="47" t="inlineStr">
        <is>
          <t>PublishDrive</t>
        </is>
      </c>
      <c r="B10" s="48">
        <f>'Monthly Scenario'!D9</f>
        <v/>
      </c>
      <c r="C10" s="48">
        <f>INDEX('Print Unit Econ'!$I$5:$I$11,MATCH('Monthly Scenario'!B9,'Print Unit Econ'!$A$5:$A$11,0))</f>
        <v/>
      </c>
      <c r="D10" s="48">
        <f>'Monthly Scenario'!E9</f>
        <v/>
      </c>
      <c r="E10" s="48">
        <f>INDEX('Ebook Unit Econ'!$I$5:$I$11,MATCH('Monthly Scenario'!C9,'Ebook Unit Econ'!$A$5:$A$11,0))</f>
        <v/>
      </c>
      <c r="F10" s="48">
        <f>'Fixed Costs'!J9</f>
        <v/>
      </c>
      <c r="G10" s="48">
        <f>'Monthly Scenario'!M9</f>
        <v/>
      </c>
      <c r="H10" s="48">
        <f>'Monthly Scenario'!N9</f>
        <v/>
      </c>
      <c r="I10" s="49">
        <f>'Monthly Scenario'!O9</f>
        <v/>
      </c>
    </row>
    <row r="11" ht="15" customHeight="1" s="40">
      <c r="A11" s="47" t="inlineStr">
        <is>
          <t>Draft2Digital</t>
        </is>
      </c>
      <c r="B11" s="48" t="inlineStr">
        <is>
          <t>n/a</t>
        </is>
      </c>
      <c r="C11" s="48" t="inlineStr">
        <is>
          <t>n/a</t>
        </is>
      </c>
      <c r="D11" s="48">
        <f>'Monthly Scenario'!E10</f>
        <v/>
      </c>
      <c r="E11" s="48">
        <f>INDEX('Ebook Unit Econ'!$I$5:$I$11,MATCH('Monthly Scenario'!C10,'Ebook Unit Econ'!$A$5:$A$11,0))</f>
        <v/>
      </c>
      <c r="F11" s="48">
        <f>'Fixed Costs'!J10</f>
        <v/>
      </c>
      <c r="G11" s="48">
        <f>'Monthly Scenario'!M10</f>
        <v/>
      </c>
      <c r="H11" s="48">
        <f>'Monthly Scenario'!N10</f>
        <v/>
      </c>
      <c r="I11" s="49">
        <f>'Monthly Scenario'!O10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</row>
    <row r="13" ht="15" customHeight="1" s="40">
      <c r="A13" s="50" t="inlineStr">
        <is>
          <t>Key takeaways (at default assumptions)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30" customHeight="1" s="40">
      <c r="A14" s="51" t="inlineStr">
        <is>
          <t>1. KDP pays the most per print copy on Amazon because Amazon takes 40% versus the 55% bookstore discount used for IngramSpark and PublishDrive.</t>
        </is>
      </c>
    </row>
    <row r="15" ht="30" customHeight="1" s="40">
      <c r="A15" s="51" t="inlineStr">
        <is>
          <t>2. The channel share (retailer discount) is the largest variance driver for print, larger than print cost or platform fees. See the driver columns on Print Unit Econ.</t>
        </is>
      </c>
    </row>
    <row r="16" ht="30" customHeight="1" s="40">
      <c r="A16" s="51" t="inlineStr">
        <is>
          <t>3. For ebooks, direct uploads (KDP, Apple, B&amp;N) beat aggregators; aggregators trade a 10 to 15% cut for one-upload reach.</t>
        </is>
      </c>
    </row>
    <row r="17" ht="30" customHeight="1" s="40">
      <c r="A17" s="51" t="inlineStr">
        <is>
          <t>4. PublishDrive only beats IngramSpark or Draft2Digital above the break-even volume on the Volume Sensitivity sheet; below it, the subscription costs more than it saves.</t>
        </is>
      </c>
    </row>
    <row r="18" ht="30" customHeight="1" s="40">
      <c r="A18" s="51" t="inlineStr">
        <is>
          <t>5. Lulu retail distribution is the weakest per-unit option; Lulu only wins on sales through its own bookstore or your site.</t>
        </is>
      </c>
    </row>
    <row r="19" ht="30" customHeight="1" s="40">
      <c r="A19" s="51" t="inlineStr">
        <is>
          <t>6. Yellow cells on Assumptions are estimates. Replace them with each platform's calculator output before making a decision.</t>
        </is>
      </c>
    </row>
  </sheetData>
  <mergeCells count="6">
    <mergeCell ref="A15:I15"/>
    <mergeCell ref="A19:I19"/>
    <mergeCell ref="A14:I14"/>
    <mergeCell ref="A17:I17"/>
    <mergeCell ref="A18:I18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39" min="1" max="1"/>
    <col width="14" customWidth="1" style="39" min="2" max="2"/>
    <col width="12" customWidth="1" style="39" min="3" max="3"/>
    <col width="90" customWidth="1" style="39" min="4" max="4"/>
  </cols>
  <sheetData>
    <row r="1" ht="17.25" customHeight="1" s="40">
      <c r="A1" s="52" t="inlineStr">
        <is>
          <t>IP Distribution Decision Verticals: Assumptions</t>
        </is>
      </c>
      <c r="B1" s="42" t="n"/>
      <c r="C1" s="42" t="n"/>
      <c r="D1" s="42" t="n"/>
    </row>
    <row r="2" ht="15" customHeight="1" s="40">
      <c r="A2" s="43" t="inlineStr">
        <is>
          <t>Legend: blue text = input you can edit; yellow fill = key assumption to replace with your own calculator results; black = formula.</t>
        </is>
      </c>
      <c r="B2" s="42" t="n"/>
      <c r="C2" s="42" t="n"/>
      <c r="D2" s="42" t="n"/>
    </row>
    <row r="3" ht="15" customHeight="1" s="40">
      <c r="A3" s="42" t="n"/>
      <c r="B3" s="42" t="n"/>
      <c r="C3" s="42" t="n"/>
      <c r="D3" s="42" t="n"/>
    </row>
    <row r="4" ht="31.5" customHeight="1" s="40">
      <c r="A4" s="46" t="inlineStr">
        <is>
          <t>Assumption</t>
        </is>
      </c>
      <c r="B4" s="46" t="inlineStr">
        <is>
          <t>Value</t>
        </is>
      </c>
      <c r="C4" s="46" t="inlineStr">
        <is>
          <t>Unit</t>
        </is>
      </c>
      <c r="D4" s="46" t="inlineStr">
        <is>
          <t>Notes / Source</t>
        </is>
      </c>
    </row>
    <row r="5" ht="15" customHeight="1" s="40">
      <c r="A5" s="53" t="inlineStr">
        <is>
          <t>Book inputs</t>
        </is>
      </c>
      <c r="B5" s="54" t="n"/>
      <c r="C5" s="54" t="n"/>
      <c r="D5" s="54" t="n"/>
    </row>
    <row r="6" ht="15" customHeight="1" s="40">
      <c r="A6" s="55" t="inlineStr">
        <is>
          <t>Paperback list price</t>
        </is>
      </c>
      <c r="B6" s="56" t="n">
        <v>16.99</v>
      </c>
      <c r="C6" s="55" t="inlineStr">
        <is>
          <t>USD</t>
        </is>
      </c>
      <c r="D6" s="51" t="inlineStr">
        <is>
          <t>Example value. Replace with your planned price.</t>
        </is>
      </c>
    </row>
    <row r="7" ht="15" customHeight="1" s="40">
      <c r="A7" s="55" t="inlineStr">
        <is>
          <t>Paperback page count</t>
        </is>
      </c>
      <c r="B7" s="57" t="n">
        <v>200</v>
      </c>
      <c r="C7" s="55" t="inlineStr">
        <is>
          <t>pages</t>
        </is>
      </c>
      <c r="D7" s="51" t="inlineStr">
        <is>
          <t>Example: 6x9 black-and-white interior.</t>
        </is>
      </c>
    </row>
    <row r="8" ht="15" customHeight="1" s="40">
      <c r="A8" s="55" t="inlineStr">
        <is>
          <t>Ebook list price</t>
        </is>
      </c>
      <c r="B8" s="56" t="n">
        <v>4.99</v>
      </c>
      <c r="C8" s="55" t="inlineStr">
        <is>
          <t>USD</t>
        </is>
      </c>
      <c r="D8" s="51" t="inlineStr">
        <is>
          <t>Example value.</t>
        </is>
      </c>
    </row>
    <row r="9" ht="15" customHeight="1" s="40">
      <c r="A9" s="55" t="inlineStr">
        <is>
          <t>Ebook file size</t>
        </is>
      </c>
      <c r="B9" s="58" t="n">
        <v>2</v>
      </c>
      <c r="C9" s="55" t="inlineStr">
        <is>
          <t>MB</t>
        </is>
      </c>
      <c r="D9" s="51" t="inlineStr">
        <is>
          <t>Text-only ebooks are usually under 2 MB. Drives KDP delivery fee.</t>
        </is>
      </c>
    </row>
    <row r="10" ht="15" customHeight="1" s="40">
      <c r="A10" s="55" t="inlineStr">
        <is>
          <t>Print units sold per month (per platform)</t>
        </is>
      </c>
      <c r="B10" s="57" t="n">
        <v>50</v>
      </c>
      <c r="C10" s="55" t="inlineStr">
        <is>
          <t>units</t>
        </is>
      </c>
      <c r="D10" s="51" t="inlineStr">
        <is>
          <t>Scenario lever used on the Monthly Scenario sheet.</t>
        </is>
      </c>
    </row>
    <row r="11" ht="15" customHeight="1" s="40">
      <c r="A11" s="55" t="inlineStr">
        <is>
          <t>Ebook units sold per month (per platform)</t>
        </is>
      </c>
      <c r="B11" s="57" t="n">
        <v>50</v>
      </c>
      <c r="C11" s="55" t="inlineStr">
        <is>
          <t>units</t>
        </is>
      </c>
      <c r="D11" s="51" t="inlineStr">
        <is>
          <t>Scenario lever used on the Monthly Scenario sheet.</t>
        </is>
      </c>
    </row>
    <row r="12" ht="15" customHeight="1" s="40">
      <c r="A12" s="53" t="inlineStr">
        <is>
          <t>Baseline for variance</t>
        </is>
      </c>
      <c r="B12" s="54" t="n"/>
      <c r="C12" s="54" t="n"/>
      <c r="D12" s="54" t="n"/>
    </row>
    <row r="13" ht="15" customHeight="1" s="40">
      <c r="A13" s="55" t="inlineStr">
        <is>
          <t>Print baseline platform</t>
        </is>
      </c>
      <c r="B13" s="58" t="inlineStr">
        <is>
          <t>Amazon KDP</t>
        </is>
      </c>
      <c r="C13" s="55" t="inlineStr">
        <is>
          <t>text</t>
        </is>
      </c>
      <c r="D13" s="51" t="inlineStr">
        <is>
          <t>Every print variance is measured against this row. Pick from the dropdown.</t>
        </is>
      </c>
    </row>
    <row r="14" ht="15" customHeight="1" s="40">
      <c r="A14" s="55" t="inlineStr">
        <is>
          <t>Ebook baseline platform</t>
        </is>
      </c>
      <c r="B14" s="58" t="inlineStr">
        <is>
          <t>Amazon KDP</t>
        </is>
      </c>
      <c r="C14" s="55" t="inlineStr">
        <is>
          <t>text</t>
        </is>
      </c>
      <c r="D14" s="51" t="inlineStr">
        <is>
          <t>Every ebook variance is measured against this row. Pick from the dropdown.</t>
        </is>
      </c>
    </row>
    <row r="15" ht="15" customHeight="1" s="40">
      <c r="A15" s="55" t="inlineStr">
        <is>
          <t>Combined baseline platform</t>
        </is>
      </c>
      <c r="B15" s="58" t="inlineStr">
        <is>
          <t>Amazon KDP</t>
        </is>
      </c>
      <c r="C15" s="55" t="inlineStr">
        <is>
          <t>text</t>
        </is>
      </c>
      <c r="D15" s="51" t="inlineStr">
        <is>
          <t>Baseline for the Monthly Scenario sheet.</t>
        </is>
      </c>
    </row>
    <row r="16" ht="15" customHeight="1" s="40">
      <c r="A16" s="53" t="inlineStr">
        <is>
          <t>Amazon KDP</t>
        </is>
      </c>
      <c r="B16" s="54" t="n"/>
      <c r="C16" s="54" t="n"/>
      <c r="D16" s="54" t="n"/>
    </row>
    <row r="17" ht="15" customHeight="1" s="40">
      <c r="A17" s="55" t="inlineStr">
        <is>
          <t>KDP print royalty rate (Amazon.com sales)</t>
        </is>
      </c>
      <c r="B17" s="59" t="n">
        <v>0.6</v>
      </c>
      <c r="C17" s="55" t="inlineStr">
        <is>
          <t>%</t>
        </is>
      </c>
      <c r="D17" s="51" t="inlineStr">
        <is>
          <t>60% of list minus printing cost. Source: Vappingo, KDP Print Royalties.</t>
        </is>
      </c>
    </row>
    <row r="18" ht="15" customHeight="1" s="40">
      <c r="A18" s="55" t="inlineStr">
        <is>
          <t>KDP Expanded Distribution royalty rate</t>
        </is>
      </c>
      <c r="B18" s="59" t="n">
        <v>0.4</v>
      </c>
      <c r="C18" s="55" t="inlineStr">
        <is>
          <t>%</t>
        </is>
      </c>
      <c r="D18" s="51" t="inlineStr">
        <is>
          <t>40% of list minus printing cost. Source: BestWriting, KDP Royalties Explained.</t>
        </is>
      </c>
    </row>
    <row r="19" ht="15" customHeight="1" s="40">
      <c r="A19" s="55" t="inlineStr">
        <is>
          <t>KDP flat print cost (24 to 108 pages)</t>
        </is>
      </c>
      <c r="B19" s="60" t="n">
        <v>2.3</v>
      </c>
      <c r="C19" s="55" t="inlineStr">
        <is>
          <t>USD</t>
        </is>
      </c>
      <c r="D19" s="51" t="inlineStr">
        <is>
          <t>Source: Profitable.app KDP calculator (2026). Some sources list $2.15.</t>
        </is>
      </c>
    </row>
    <row r="20" ht="15" customHeight="1" s="40">
      <c r="A20" s="55" t="inlineStr">
        <is>
          <t>KDP fixed print cost (110+ pages)</t>
        </is>
      </c>
      <c r="B20" s="56" t="n">
        <v>1</v>
      </c>
      <c r="C20" s="55" t="inlineStr">
        <is>
          <t>USD</t>
        </is>
      </c>
      <c r="D20" s="51" t="inlineStr">
        <is>
          <t>Source: Profitable.app (2026). Some sources list $0.85; verify in KDP's calculator.</t>
        </is>
      </c>
    </row>
    <row r="21" ht="15" customHeight="1" s="40">
      <c r="A21" s="55" t="inlineStr">
        <is>
          <t>KDP per-page print cost (B&amp;W)</t>
        </is>
      </c>
      <c r="B21" s="60" t="n">
        <v>0.012</v>
      </c>
      <c r="C21" s="55" t="inlineStr">
        <is>
          <t>USD/page</t>
        </is>
      </c>
      <c r="D21" s="51" t="inlineStr">
        <is>
          <t>Source: Profitable.app; BestWriting.</t>
        </is>
      </c>
    </row>
    <row r="22" ht="15" customHeight="1" s="40">
      <c r="A22" s="55" t="inlineStr">
        <is>
          <t>KDP ebook royalty, $2.99 to $9.99</t>
        </is>
      </c>
      <c r="B22" s="59" t="n">
        <v>0.7</v>
      </c>
      <c r="C22" s="55" t="inlineStr">
        <is>
          <t>%</t>
        </is>
      </c>
      <c r="D22" s="51" t="inlineStr">
        <is>
          <t>Source: Daniel Tortora royalty guide (2026).</t>
        </is>
      </c>
    </row>
    <row r="23" ht="15" customHeight="1" s="40">
      <c r="A23" s="55" t="inlineStr">
        <is>
          <t>KDP ebook royalty outside that band</t>
        </is>
      </c>
      <c r="B23" s="59" t="n">
        <v>0.35</v>
      </c>
      <c r="C23" s="55" t="inlineStr">
        <is>
          <t>%</t>
        </is>
      </c>
      <c r="D23" s="51" t="inlineStr">
        <is>
          <t>No delivery fee on the 35% tier.</t>
        </is>
      </c>
    </row>
    <row r="24" ht="15" customHeight="1" s="40">
      <c r="A24" s="55" t="inlineStr">
        <is>
          <t>KDP delivery fee (70% tier)</t>
        </is>
      </c>
      <c r="B24" s="60" t="n">
        <v>0.15</v>
      </c>
      <c r="C24" s="55" t="inlineStr">
        <is>
          <t>USD/MB</t>
        </is>
      </c>
      <c r="D24" s="51" t="inlineStr">
        <is>
          <t>US store. Source: Reedsy; Profitable.app.</t>
        </is>
      </c>
    </row>
    <row r="25" ht="15" customHeight="1" s="40">
      <c r="A25" s="53" t="inlineStr">
        <is>
          <t>IngramSpark</t>
        </is>
      </c>
      <c r="B25" s="54" t="n"/>
      <c r="C25" s="54" t="n"/>
      <c r="D25" s="54" t="n"/>
    </row>
    <row r="26" ht="15" customHeight="1" s="40">
      <c r="A26" s="55" t="inlineStr">
        <is>
          <t>IngramSpark wholesale discount</t>
        </is>
      </c>
      <c r="B26" s="61" t="n">
        <v>0.55</v>
      </c>
      <c r="C26" s="55" t="inlineStr">
        <is>
          <t>%</t>
        </is>
      </c>
      <c r="D26" s="51" t="inlineStr">
        <is>
          <t>55% is standard for bookstore stocking; 35 to 40% is common for online-only. Source: Tortora.</t>
        </is>
      </c>
    </row>
    <row r="27" ht="15" customHeight="1" s="40">
      <c r="A27" s="55" t="inlineStr">
        <is>
          <t>IngramSpark market access fee</t>
        </is>
      </c>
      <c r="B27" s="62" t="n">
        <v>0.01875</v>
      </c>
      <c r="C27" s="55" t="inlineStr">
        <is>
          <t>% of list</t>
        </is>
      </c>
      <c r="D27" s="51" t="inlineStr">
        <is>
          <t>Effective Feb 1, 2026. Source: IngramSpark Help Center.</t>
        </is>
      </c>
    </row>
    <row r="28" ht="26.25" customHeight="1" s="40">
      <c r="A28" s="55" t="inlineStr">
        <is>
          <t>Ingram print cost per unit (estimate)</t>
        </is>
      </c>
      <c r="B28" s="56" t="n">
        <v>4</v>
      </c>
      <c r="C28" s="55" t="inlineStr">
        <is>
          <t>USD</t>
        </is>
      </c>
      <c r="D28" s="51" t="inlineStr">
        <is>
          <t>ESTIMATE. Replace with IngramSpark print cost calculator result. Also used for PublishDrive (prints via Ingram).</t>
        </is>
      </c>
    </row>
    <row r="29" ht="15" customHeight="1" s="40">
      <c r="A29" s="55" t="inlineStr">
        <is>
          <t>IngramSpark digital distribution fee</t>
        </is>
      </c>
      <c r="B29" s="59" t="n">
        <v>0.15</v>
      </c>
      <c r="C29" s="55" t="inlineStr">
        <is>
          <t>% of net sales</t>
        </is>
      </c>
      <c r="D29" s="51" t="inlineStr">
        <is>
          <t>Sec. 8.1.3 of the IngramSpark Agreement you pasted.</t>
        </is>
      </c>
    </row>
    <row r="30" ht="15" customHeight="1" s="40">
      <c r="A30" s="53" t="inlineStr">
        <is>
          <t>Barnes &amp; Noble Press</t>
        </is>
      </c>
      <c r="B30" s="54" t="n"/>
      <c r="C30" s="54" t="n"/>
      <c r="D30" s="54" t="n"/>
    </row>
    <row r="31" ht="15" customHeight="1" s="40">
      <c r="A31" s="55" t="inlineStr">
        <is>
          <t>B&amp;N Press print royalty rate</t>
        </is>
      </c>
      <c r="B31" s="59" t="n">
        <v>0.55</v>
      </c>
      <c r="C31" s="55" t="inlineStr">
        <is>
          <t>%</t>
        </is>
      </c>
      <c r="D31" s="51" t="inlineStr">
        <is>
          <t>55% of list minus per-book printing cost. Source: B&amp;N Press Help Center.</t>
        </is>
      </c>
    </row>
    <row r="32" ht="15" customHeight="1" s="40">
      <c r="A32" s="55" t="inlineStr">
        <is>
          <t>B&amp;N Press print cost per unit (estimate)</t>
        </is>
      </c>
      <c r="B32" s="56" t="n">
        <v>3.5</v>
      </c>
      <c r="C32" s="55" t="inlineStr">
        <is>
          <t>USD</t>
        </is>
      </c>
      <c r="D32" s="51" t="inlineStr">
        <is>
          <t>ESTIMATE. B&amp;N does not publish a formula; check its calculator during setup.</t>
        </is>
      </c>
    </row>
    <row r="33" ht="15" customHeight="1" s="40">
      <c r="A33" s="55" t="inlineStr">
        <is>
          <t>B&amp;N Press ebook royalty</t>
        </is>
      </c>
      <c r="B33" s="59" t="n">
        <v>0.7</v>
      </c>
      <c r="C33" s="55" t="inlineStr">
        <is>
          <t>%</t>
        </is>
      </c>
      <c r="D33" s="51" t="inlineStr">
        <is>
          <t>Flat 70% for ebooks priced $0.99 and up. Source: B&amp;N Press Help Center.</t>
        </is>
      </c>
    </row>
    <row r="34" ht="15" customHeight="1" s="40">
      <c r="A34" s="53" t="inlineStr">
        <is>
          <t>Lulu</t>
        </is>
      </c>
      <c r="B34" s="54" t="n"/>
      <c r="C34" s="54" t="n"/>
      <c r="D34" s="54" t="n"/>
    </row>
    <row r="35" ht="15" customHeight="1" s="40">
      <c r="A35" s="55" t="inlineStr">
        <is>
          <t>Lulu print cost per unit (estimate)</t>
        </is>
      </c>
      <c r="B35" s="56" t="n">
        <v>5</v>
      </c>
      <c r="C35" s="55" t="inlineStr">
        <is>
          <t>USD</t>
        </is>
      </c>
      <c r="D35" s="51" t="inlineStr">
        <is>
          <t>ESTIMATE. Replace with Lulu pricing calculator result.</t>
        </is>
      </c>
    </row>
    <row r="36" ht="26.25" customHeight="1" s="40">
      <c r="A36" s="55" t="inlineStr">
        <is>
          <t>Lulu retail distribution fee</t>
        </is>
      </c>
      <c r="B36" s="59" t="n">
        <v>0.5</v>
      </c>
      <c r="C36" s="55" t="inlineStr">
        <is>
          <t>% of list</t>
        </is>
      </c>
      <c r="D36" s="51" t="inlineStr">
        <is>
          <t>50% of gross revenue on retail channels; none on Lulu Bookstore. Source: Chapter, Lulu Pricing (Sep 2026).</t>
        </is>
      </c>
    </row>
    <row r="37" ht="15" customHeight="1" s="40">
      <c r="A37" s="55" t="inlineStr">
        <is>
          <t>Lulu commission</t>
        </is>
      </c>
      <c r="B37" s="59" t="n">
        <v>0.2</v>
      </c>
      <c r="C37" s="55" t="inlineStr">
        <is>
          <t>% of gross profit</t>
        </is>
      </c>
      <c r="D37" s="51" t="inlineStr">
        <is>
          <t>Lulu keeps 20% of what remains after fees and print. Source: Chapter, Lulu Pricing.</t>
        </is>
      </c>
    </row>
    <row r="38" ht="15" customHeight="1" s="40">
      <c r="A38" s="53" t="inlineStr">
        <is>
          <t>Ebook stores and aggregators</t>
        </is>
      </c>
      <c r="B38" s="54" t="n"/>
      <c r="C38" s="54" t="n"/>
      <c r="D38" s="54" t="n"/>
    </row>
    <row r="39" ht="15" customHeight="1" s="40">
      <c r="A39" s="55" t="inlineStr">
        <is>
          <t>Apple / Kobo / Google payout rate to publisher</t>
        </is>
      </c>
      <c r="B39" s="59" t="n">
        <v>0.7</v>
      </c>
      <c r="C39" s="55" t="inlineStr">
        <is>
          <t>%</t>
        </is>
      </c>
      <c r="D39" s="51" t="inlineStr">
        <is>
          <t>Source: ScribeCount platform comparison.</t>
        </is>
      </c>
    </row>
    <row r="40" ht="26.25" customHeight="1" s="40">
      <c r="A40" s="55" t="inlineStr">
        <is>
          <t>Draft2Digital share of store payout</t>
        </is>
      </c>
      <c r="B40" s="59" t="n">
        <v>0.1</v>
      </c>
      <c r="C40" s="55" t="inlineStr">
        <is>
          <t>%</t>
        </is>
      </c>
      <c r="D40" s="51" t="inlineStr">
        <is>
          <t>D2D keeps about 10%, you net about 90% of the store payout. Source: Books.by; Publishing.co.uk.</t>
        </is>
      </c>
    </row>
    <row r="41" ht="15" customHeight="1" s="40">
      <c r="A41" s="53" t="inlineStr">
        <is>
          <t>Fixed and recurring costs</t>
        </is>
      </c>
      <c r="B41" s="54" t="n"/>
      <c r="C41" s="54" t="n"/>
      <c r="D41" s="54" t="n"/>
    </row>
    <row r="42" ht="15" customHeight="1" s="40">
      <c r="A42" s="55" t="inlineStr">
        <is>
          <t>ISBN cost per title (if you supply your own)</t>
        </is>
      </c>
      <c r="B42" s="63" t="n">
        <v>125</v>
      </c>
      <c r="C42" s="55" t="inlineStr">
        <is>
          <t>USD</t>
        </is>
      </c>
      <c r="D42" s="51" t="inlineStr">
        <is>
          <t>Single ISBN price. A block of 10 is $295 ($29.50 each). Source: ScribeCount.</t>
        </is>
      </c>
    </row>
    <row r="43" ht="15" customHeight="1" s="40">
      <c r="A43" s="55" t="inlineStr">
        <is>
          <t>Draft2Digital account fee (new accounts)</t>
        </is>
      </c>
      <c r="B43" s="64" t="n">
        <v>20</v>
      </c>
      <c r="C43" s="55" t="inlineStr">
        <is>
          <t>USD</t>
        </is>
      </c>
      <c r="D43" s="51" t="inlineStr">
        <is>
          <t>One-time, introduced April 2026. Source: PublishDrive vs D2D comparison (Apr 2026).</t>
        </is>
      </c>
    </row>
    <row r="44" ht="15" customHeight="1" s="40">
      <c r="A44" s="55" t="inlineStr">
        <is>
          <t>Lulu proof copy incl. shipping (estimate)</t>
        </is>
      </c>
      <c r="B44" s="60" t="n">
        <v>12</v>
      </c>
      <c r="C44" s="55" t="inlineStr">
        <is>
          <t>USD</t>
        </is>
      </c>
      <c r="D44" s="51" t="inlineStr">
        <is>
          <t>ESTIMATE. A proof is required before Lulu print distribution.</t>
        </is>
      </c>
    </row>
    <row r="45" ht="15" customHeight="1" s="40">
      <c r="A45" s="55" t="inlineStr">
        <is>
          <t>PublishDrive monthly subscription</t>
        </is>
      </c>
      <c r="B45" s="56" t="n">
        <v>13.99</v>
      </c>
      <c r="C45" s="55" t="inlineStr">
        <is>
          <t>USD/mo</t>
        </is>
      </c>
      <c r="D45" s="51" t="inlineStr">
        <is>
          <t>Lowest paid plan. A free plan covers 1 title. Source: PublishDrive (2026).</t>
        </is>
      </c>
    </row>
  </sheetData>
  <dataValidations count="3">
    <dataValidation sqref="B13" showDropDown="0" showInputMessage="0" showErrorMessage="0" allowBlank="0" type="list" errorStyle="stop" operator="between">
      <formula1>"Amazon KDP,KDP Expanded Distribution,IngramSpark,B&amp;N Press,Lulu Bookstore,Lulu (Retail),PublishDrive"</formula1>
      <formula2>0</formula2>
    </dataValidation>
    <dataValidation sqref="B14" showDropDown="0" showInputMessage="0" showErrorMessage="0" allowBlank="0" type="list" errorStyle="stop" operator="between">
      <formula1>"Amazon KDP,Apple Books (direct),B&amp;N Press,Draft2Digital (via Apple),IngramSpark (via Apple),PublishDrive (via Apple),Lulu (Retail)"</formula1>
      <formula2>0</formula2>
    </dataValidation>
    <dataValidation sqref="B15" showDropDown="0" showInputMessage="0" showErrorMessage="0" allowBlank="0" type="list" errorStyle="stop" operator="between">
      <formula1>"Amazon KDP,IngramSpark,B&amp;N Press,Lulu,PublishDrive,Draft2Digital"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9" min="1" max="1"/>
    <col width="30" customWidth="1" style="39" min="2" max="2"/>
    <col width="11" customWidth="1" style="39" min="3" max="3"/>
    <col width="14" customWidth="1" style="39" min="4" max="4"/>
    <col width="11" customWidth="1" style="39" min="5" max="5"/>
    <col width="12" customWidth="1" style="39" min="6" max="6"/>
    <col width="14" customWidth="1" style="39" min="7" max="7"/>
    <col width="11" customWidth="1" style="39" min="8" max="8"/>
    <col width="14" customWidth="1" style="39" min="9" max="9"/>
    <col width="13" customWidth="1" style="39" min="10" max="11"/>
    <col width="12" customWidth="1" style="39" min="12" max="12"/>
    <col width="13" customWidth="1" style="39" min="13" max="13"/>
    <col width="7" customWidth="1" style="39" min="14" max="14"/>
  </cols>
  <sheetData>
    <row r="1" ht="17.25" customHeight="1" s="40">
      <c r="A1" s="52" t="inlineStr">
        <is>
          <t>Print Book: Per-Unit Royalty and Variance vs Baseline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</row>
    <row r="2" ht="15" customHeight="1" s="40">
      <c r="A2" s="43">
        <f>"Baseline: "&amp;Assumptions!$B$13&amp;"   |   List price: "&amp;TEXT(Assumptions!$B$6,"$0.00")&amp;"   |   Pages: "&amp;Assumptions!$B$7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</row>
    <row r="4" ht="31.5" customHeight="1" s="40">
      <c r="A4" s="46" t="inlineStr">
        <is>
          <t>Platform</t>
        </is>
      </c>
      <c r="B4" s="46" t="inlineStr">
        <is>
          <t>Where it sells</t>
        </is>
      </c>
      <c r="C4" s="46" t="inlineStr">
        <is>
          <t>List price</t>
        </is>
      </c>
      <c r="D4" s="46" t="inlineStr">
        <is>
          <t>Retailer / channel share</t>
        </is>
      </c>
      <c r="E4" s="46" t="inlineStr">
        <is>
          <t>Print cost</t>
        </is>
      </c>
      <c r="F4" s="46" t="inlineStr">
        <is>
          <t>Platform fees</t>
        </is>
      </c>
      <c r="G4" s="46" t="inlineStr">
        <is>
          <t>Net royalty per unit</t>
        </is>
      </c>
      <c r="H4" s="46" t="inlineStr">
        <is>
          <t>Net % of list</t>
        </is>
      </c>
      <c r="I4" s="46" t="inlineStr">
        <is>
          <t>Variance vs baseline ($)</t>
        </is>
      </c>
      <c r="J4" s="46" t="inlineStr">
        <is>
          <t>Variance vs baseline (%)</t>
        </is>
      </c>
      <c r="K4" s="46" t="inlineStr">
        <is>
          <t>Driver: channel share</t>
        </is>
      </c>
      <c r="L4" s="46" t="inlineStr">
        <is>
          <t>Driver: print cost</t>
        </is>
      </c>
      <c r="M4" s="46" t="inlineStr">
        <is>
          <t>Driver: platform fees</t>
        </is>
      </c>
      <c r="N4" s="46" t="inlineStr">
        <is>
          <t>Rank</t>
        </is>
      </c>
    </row>
    <row r="5" ht="15" customHeight="1" s="40">
      <c r="A5" s="47" t="inlineStr">
        <is>
          <t>Amazon KDP</t>
        </is>
      </c>
      <c r="B5" s="65" t="inlineStr">
        <is>
          <t>Amazon.com only</t>
        </is>
      </c>
      <c r="C5" s="66">
        <f>Assumptions!$B$6</f>
        <v/>
      </c>
      <c r="D5" s="67">
        <f>Assumptions!$B$6*(1-Assumptions!$B$17)</f>
        <v/>
      </c>
      <c r="E5" s="67">
        <f>IF(Assumptions!$B$7&lt;=108,Assumptions!$B$19,Assumptions!$B$20+Assumptions!$B$7*Assumptions!$B$21)</f>
        <v/>
      </c>
      <c r="F5" s="67">
        <f>0</f>
        <v/>
      </c>
      <c r="G5" s="68">
        <f>C5-D5-E5-F5</f>
        <v/>
      </c>
      <c r="H5" s="69">
        <f>IFERROR(G5/C5,0)</f>
        <v/>
      </c>
      <c r="I5" s="67">
        <f>G5-INDEX($G$5:$G$11,MATCH(Assumptions!$B$13,$A$5:$A$11,0))</f>
        <v/>
      </c>
      <c r="J5" s="69">
        <f>IFERROR(I5/ABS(INDEX($G$5:$G$11,MATCH(Assumptions!$B$13,$A$5:$A$11,0))),0)</f>
        <v/>
      </c>
      <c r="K5" s="67">
        <f>INDEX($D$5:$D$11,MATCH(Assumptions!$B$13,$A$5:$A$11,0))-D5</f>
        <v/>
      </c>
      <c r="L5" s="67">
        <f>INDEX($E$5:$E$11,MATCH(Assumptions!$B$13,$A$5:$A$11,0))-E5</f>
        <v/>
      </c>
      <c r="M5" s="67">
        <f>INDEX($F$5:$F$11,MATCH(Assumptions!$B$13,$A$5:$A$11,0))-F5</f>
        <v/>
      </c>
      <c r="N5" s="65">
        <f>RANK(G5,$G$5:$G$11)</f>
        <v/>
      </c>
    </row>
    <row r="6" ht="15" customHeight="1" s="40">
      <c r="A6" s="47" t="inlineStr">
        <is>
          <t>KDP Expanded Distribution</t>
        </is>
      </c>
      <c r="B6" s="65" t="inlineStr">
        <is>
          <t>Other retailers via KDP</t>
        </is>
      </c>
      <c r="C6" s="66">
        <f>Assumptions!$B$6</f>
        <v/>
      </c>
      <c r="D6" s="67">
        <f>Assumptions!$B$6*(1-Assumptions!$B$18)</f>
        <v/>
      </c>
      <c r="E6" s="67">
        <f>IF(Assumptions!$B$7&lt;=108,Assumptions!$B$19,Assumptions!$B$20+Assumptions!$B$7*Assumptions!$B$21)</f>
        <v/>
      </c>
      <c r="F6" s="67">
        <f>0</f>
        <v/>
      </c>
      <c r="G6" s="68">
        <f>C6-D6-E6-F6</f>
        <v/>
      </c>
      <c r="H6" s="69">
        <f>IFERROR(G6/C6,0)</f>
        <v/>
      </c>
      <c r="I6" s="67">
        <f>G6-INDEX($G$5:$G$11,MATCH(Assumptions!$B$13,$A$5:$A$11,0))</f>
        <v/>
      </c>
      <c r="J6" s="69">
        <f>IFERROR(I6/ABS(INDEX($G$5:$G$11,MATCH(Assumptions!$B$13,$A$5:$A$11,0))),0)</f>
        <v/>
      </c>
      <c r="K6" s="67">
        <f>INDEX($D$5:$D$11,MATCH(Assumptions!$B$13,$A$5:$A$11,0))-D6</f>
        <v/>
      </c>
      <c r="L6" s="67">
        <f>INDEX($E$5:$E$11,MATCH(Assumptions!$B$13,$A$5:$A$11,0))-E6</f>
        <v/>
      </c>
      <c r="M6" s="67">
        <f>INDEX($F$5:$F$11,MATCH(Assumptions!$B$13,$A$5:$A$11,0))-F6</f>
        <v/>
      </c>
      <c r="N6" s="65">
        <f>RANK(G6,$G$5:$G$11)</f>
        <v/>
      </c>
    </row>
    <row r="7" ht="15" customHeight="1" s="40">
      <c r="A7" s="47" t="inlineStr">
        <is>
          <t>IngramSpark</t>
        </is>
      </c>
      <c r="B7" s="65" t="inlineStr">
        <is>
          <t>Bookstores, libraries, online retail</t>
        </is>
      </c>
      <c r="C7" s="66">
        <f>Assumptions!$B$6</f>
        <v/>
      </c>
      <c r="D7" s="67">
        <f>Assumptions!$B$6*Assumptions!$B$26</f>
        <v/>
      </c>
      <c r="E7" s="67">
        <f>Assumptions!$B$28</f>
        <v/>
      </c>
      <c r="F7" s="67">
        <f>Assumptions!$B$6*Assumptions!$B$27</f>
        <v/>
      </c>
      <c r="G7" s="68">
        <f>C7-D7-E7-F7</f>
        <v/>
      </c>
      <c r="H7" s="69">
        <f>IFERROR(G7/C7,0)</f>
        <v/>
      </c>
      <c r="I7" s="67">
        <f>G7-INDEX($G$5:$G$11,MATCH(Assumptions!$B$13,$A$5:$A$11,0))</f>
        <v/>
      </c>
      <c r="J7" s="69">
        <f>IFERROR(I7/ABS(INDEX($G$5:$G$11,MATCH(Assumptions!$B$13,$A$5:$A$11,0))),0)</f>
        <v/>
      </c>
      <c r="K7" s="67">
        <f>INDEX($D$5:$D$11,MATCH(Assumptions!$B$13,$A$5:$A$11,0))-D7</f>
        <v/>
      </c>
      <c r="L7" s="67">
        <f>INDEX($E$5:$E$11,MATCH(Assumptions!$B$13,$A$5:$A$11,0))-E7</f>
        <v/>
      </c>
      <c r="M7" s="67">
        <f>INDEX($F$5:$F$11,MATCH(Assumptions!$B$13,$A$5:$A$11,0))-F7</f>
        <v/>
      </c>
      <c r="N7" s="65">
        <f>RANK(G7,$G$5:$G$11)</f>
        <v/>
      </c>
    </row>
    <row r="8" ht="15" customHeight="1" s="40">
      <c r="A8" s="47" t="inlineStr">
        <is>
          <t>B&amp;N Press</t>
        </is>
      </c>
      <c r="B8" s="65" t="inlineStr">
        <is>
          <t>BN.com (U.S. only)</t>
        </is>
      </c>
      <c r="C8" s="66">
        <f>Assumptions!$B$6</f>
        <v/>
      </c>
      <c r="D8" s="67">
        <f>Assumptions!$B$6*(1-Assumptions!$B$31)</f>
        <v/>
      </c>
      <c r="E8" s="67">
        <f>Assumptions!$B$32</f>
        <v/>
      </c>
      <c r="F8" s="67">
        <f>0</f>
        <v/>
      </c>
      <c r="G8" s="68">
        <f>C8-D8-E8-F8</f>
        <v/>
      </c>
      <c r="H8" s="69">
        <f>IFERROR(G8/C8,0)</f>
        <v/>
      </c>
      <c r="I8" s="67">
        <f>G8-INDEX($G$5:$G$11,MATCH(Assumptions!$B$13,$A$5:$A$11,0))</f>
        <v/>
      </c>
      <c r="J8" s="69">
        <f>IFERROR(I8/ABS(INDEX($G$5:$G$11,MATCH(Assumptions!$B$13,$A$5:$A$11,0))),0)</f>
        <v/>
      </c>
      <c r="K8" s="67">
        <f>INDEX($D$5:$D$11,MATCH(Assumptions!$B$13,$A$5:$A$11,0))-D8</f>
        <v/>
      </c>
      <c r="L8" s="67">
        <f>INDEX($E$5:$E$11,MATCH(Assumptions!$B$13,$A$5:$A$11,0))-E8</f>
        <v/>
      </c>
      <c r="M8" s="67">
        <f>INDEX($F$5:$F$11,MATCH(Assumptions!$B$13,$A$5:$A$11,0))-F8</f>
        <v/>
      </c>
      <c r="N8" s="65">
        <f>RANK(G8,$G$5:$G$11)</f>
        <v/>
      </c>
    </row>
    <row r="9" ht="15" customHeight="1" s="40">
      <c r="A9" s="47" t="inlineStr">
        <is>
          <t>Lulu Bookstore</t>
        </is>
      </c>
      <c r="B9" s="65" t="inlineStr">
        <is>
          <t>Lulu.com store only</t>
        </is>
      </c>
      <c r="C9" s="66">
        <f>Assumptions!$B$6</f>
        <v/>
      </c>
      <c r="D9" s="67">
        <f>0</f>
        <v/>
      </c>
      <c r="E9" s="67">
        <f>Assumptions!$B$35</f>
        <v/>
      </c>
      <c r="F9" s="67">
        <f>(C9-D9-E9)*Assumptions!$B$37</f>
        <v/>
      </c>
      <c r="G9" s="68">
        <f>C9-D9-E9-F9</f>
        <v/>
      </c>
      <c r="H9" s="69">
        <f>IFERROR(G9/C9,0)</f>
        <v/>
      </c>
      <c r="I9" s="67">
        <f>G9-INDEX($G$5:$G$11,MATCH(Assumptions!$B$13,$A$5:$A$11,0))</f>
        <v/>
      </c>
      <c r="J9" s="69">
        <f>IFERROR(I9/ABS(INDEX($G$5:$G$11,MATCH(Assumptions!$B$13,$A$5:$A$11,0))),0)</f>
        <v/>
      </c>
      <c r="K9" s="67">
        <f>INDEX($D$5:$D$11,MATCH(Assumptions!$B$13,$A$5:$A$11,0))-D9</f>
        <v/>
      </c>
      <c r="L9" s="67">
        <f>INDEX($E$5:$E$11,MATCH(Assumptions!$B$13,$A$5:$A$11,0))-E9</f>
        <v/>
      </c>
      <c r="M9" s="67">
        <f>INDEX($F$5:$F$11,MATCH(Assumptions!$B$13,$A$5:$A$11,0))-F9</f>
        <v/>
      </c>
      <c r="N9" s="65">
        <f>RANK(G9,$G$5:$G$11)</f>
        <v/>
      </c>
    </row>
    <row r="10" ht="15" customHeight="1" s="40">
      <c r="A10" s="47" t="inlineStr">
        <is>
          <t>Lulu (Retail)</t>
        </is>
      </c>
      <c r="B10" s="65" t="inlineStr">
        <is>
          <t>Amazon, B&amp;N, others via Lulu</t>
        </is>
      </c>
      <c r="C10" s="66">
        <f>Assumptions!$B$6</f>
        <v/>
      </c>
      <c r="D10" s="67">
        <f>Assumptions!$B$6*Assumptions!$B$36</f>
        <v/>
      </c>
      <c r="E10" s="67">
        <f>Assumptions!$B$35</f>
        <v/>
      </c>
      <c r="F10" s="67">
        <f>(C10-D10-E10)*Assumptions!$B$37</f>
        <v/>
      </c>
      <c r="G10" s="68">
        <f>C10-D10-E10-F10</f>
        <v/>
      </c>
      <c r="H10" s="69">
        <f>IFERROR(G10/C10,0)</f>
        <v/>
      </c>
      <c r="I10" s="67">
        <f>G10-INDEX($G$5:$G$11,MATCH(Assumptions!$B$13,$A$5:$A$11,0))</f>
        <v/>
      </c>
      <c r="J10" s="69">
        <f>IFERROR(I10/ABS(INDEX($G$5:$G$11,MATCH(Assumptions!$B$13,$A$5:$A$11,0))),0)</f>
        <v/>
      </c>
      <c r="K10" s="67">
        <f>INDEX($D$5:$D$11,MATCH(Assumptions!$B$13,$A$5:$A$11,0))-D10</f>
        <v/>
      </c>
      <c r="L10" s="67">
        <f>INDEX($E$5:$E$11,MATCH(Assumptions!$B$13,$A$5:$A$11,0))-E10</f>
        <v/>
      </c>
      <c r="M10" s="67">
        <f>INDEX($F$5:$F$11,MATCH(Assumptions!$B$13,$A$5:$A$11,0))-F10</f>
        <v/>
      </c>
      <c r="N10" s="65">
        <f>RANK(G10,$G$5:$G$11)</f>
        <v/>
      </c>
    </row>
    <row r="11" ht="15" customHeight="1" s="40">
      <c r="A11" s="47" t="inlineStr">
        <is>
          <t>PublishDrive</t>
        </is>
      </c>
      <c r="B11" s="65" t="inlineStr">
        <is>
          <t>Bookstores and retail via Ingram</t>
        </is>
      </c>
      <c r="C11" s="66">
        <f>Assumptions!$B$6</f>
        <v/>
      </c>
      <c r="D11" s="67">
        <f>Assumptions!$B$6*Assumptions!$B$26</f>
        <v/>
      </c>
      <c r="E11" s="67">
        <f>Assumptions!$B$28</f>
        <v/>
      </c>
      <c r="F11" s="67">
        <f>0</f>
        <v/>
      </c>
      <c r="G11" s="68">
        <f>C11-D11-E11-F11</f>
        <v/>
      </c>
      <c r="H11" s="69">
        <f>IFERROR(G11/C11,0)</f>
        <v/>
      </c>
      <c r="I11" s="67">
        <f>G11-INDEX($G$5:$G$11,MATCH(Assumptions!$B$13,$A$5:$A$11,0))</f>
        <v/>
      </c>
      <c r="J11" s="69">
        <f>IFERROR(I11/ABS(INDEX($G$5:$G$11,MATCH(Assumptions!$B$13,$A$5:$A$11,0))),0)</f>
        <v/>
      </c>
      <c r="K11" s="67">
        <f>INDEX($D$5:$D$11,MATCH(Assumptions!$B$13,$A$5:$A$11,0))-D11</f>
        <v/>
      </c>
      <c r="L11" s="67">
        <f>INDEX($E$5:$E$11,MATCH(Assumptions!$B$13,$A$5:$A$11,0))-E11</f>
        <v/>
      </c>
      <c r="M11" s="67">
        <f>INDEX($F$5:$F$11,MATCH(Assumptions!$B$13,$A$5:$A$11,0))-F11</f>
        <v/>
      </c>
      <c r="N11" s="65">
        <f>RANK(G11,$G$5:$G$11)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5" customHeight="1" s="40">
      <c r="A13" s="50" t="inlineStr">
        <is>
          <t>How to read this sheet: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</row>
    <row r="14" ht="15" customHeight="1" s="40">
      <c r="A14" s="55" t="inlineStr">
        <is>
          <t>Net royalty per unit = List price - Retailer/channel share - Print cost - Platform fees.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5" customHeight="1" s="40">
      <c r="A15" s="55" t="inlineStr">
        <is>
          <t>Variance vs baseline = this platform's net minus the baseline's net. The three driver columns split that variance by cause and add up to it exactly.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</row>
    <row r="16" ht="15" customHeight="1" s="40">
      <c r="A16" s="55" t="inlineStr">
        <is>
          <t>Positive driver = this platform costs you less than the baseline on that line. Negative = it costs you more.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5" customHeight="1" s="40">
      <c r="A17" s="55" t="inlineStr">
        <is>
          <t>PublishDrive's monthly subscription is a fixed cost, so it appears on the Monthly Scenario sheet rather than here.</t>
        </is>
      </c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</row>
    <row r="18" ht="15" customHeight="1" s="40">
      <c r="A18" s="55" t="inlineStr">
        <is>
          <t>Print costs for IngramSpark, PublishDrive, B&amp;N Press and Lulu are estimates on the Assumptions sheet. Replace them with each platform's calculator output.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39" min="1" max="2"/>
    <col width="11" customWidth="1" style="39" min="3" max="5"/>
    <col width="13" customWidth="1" style="39" min="6" max="6"/>
    <col width="14" customWidth="1" style="39" min="7" max="7"/>
    <col width="11" customWidth="1" style="39" min="8" max="8"/>
    <col width="14" customWidth="1" style="39" min="9" max="9"/>
    <col width="13" customWidth="1" style="39" min="10" max="10"/>
    <col width="12" customWidth="1" style="39" min="11" max="12"/>
    <col width="13" customWidth="1" style="39" min="13" max="13"/>
    <col width="7" customWidth="1" style="39" min="14" max="14"/>
  </cols>
  <sheetData>
    <row r="1" ht="17.25" customHeight="1" s="40">
      <c r="A1" s="52" t="inlineStr">
        <is>
          <t>Ebook: Per-Unit Royalty and Variance vs Baseline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</row>
    <row r="2" ht="15" customHeight="1" s="40">
      <c r="A2" s="43">
        <f>"Baseline: "&amp;Assumptions!$B$14&amp;"   |   Ebook price: "&amp;TEXT(Assumptions!$B$8,"$0.00")&amp;"   |   File size: "&amp;Assumptions!$B$9&amp;" MB"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</row>
    <row r="4" ht="31.5" customHeight="1" s="40">
      <c r="A4" s="46" t="inlineStr">
        <is>
          <t>Platform</t>
        </is>
      </c>
      <c r="B4" s="46" t="inlineStr">
        <is>
          <t>Sold through</t>
        </is>
      </c>
      <c r="C4" s="46" t="inlineStr">
        <is>
          <t>List price</t>
        </is>
      </c>
      <c r="D4" s="46" t="inlineStr">
        <is>
          <t>Store cut</t>
        </is>
      </c>
      <c r="E4" s="46" t="inlineStr">
        <is>
          <t>Delivery fee</t>
        </is>
      </c>
      <c r="F4" s="46" t="inlineStr">
        <is>
          <t>Aggregator / platform fee</t>
        </is>
      </c>
      <c r="G4" s="46" t="inlineStr">
        <is>
          <t>Net royalty per unit</t>
        </is>
      </c>
      <c r="H4" s="46" t="inlineStr">
        <is>
          <t>Net % of list</t>
        </is>
      </c>
      <c r="I4" s="46" t="inlineStr">
        <is>
          <t>Variance vs baseline ($)</t>
        </is>
      </c>
      <c r="J4" s="46" t="inlineStr">
        <is>
          <t>Variance vs baseline (%)</t>
        </is>
      </c>
      <c r="K4" s="46" t="inlineStr">
        <is>
          <t>Driver: store cut</t>
        </is>
      </c>
      <c r="L4" s="46" t="inlineStr">
        <is>
          <t>Driver: delivery fee</t>
        </is>
      </c>
      <c r="M4" s="46" t="inlineStr">
        <is>
          <t>Driver: aggregator fee</t>
        </is>
      </c>
      <c r="N4" s="46" t="inlineStr">
        <is>
          <t>Rank</t>
        </is>
      </c>
    </row>
    <row r="5" ht="15" customHeight="1" s="40">
      <c r="A5" s="47" t="inlineStr">
        <is>
          <t>Amazon KDP</t>
        </is>
      </c>
      <c r="B5" s="65" t="inlineStr">
        <is>
          <t>Amazon Kindle</t>
        </is>
      </c>
      <c r="C5" s="66">
        <f>Assumptions!$B$8</f>
        <v/>
      </c>
      <c r="D5" s="67">
        <f>(C5-E5)*(1-IF(AND(Assumptions!$B$8&gt;=2.99,Assumptions!$B$8&lt;=9.99),Assumptions!$B$22,Assumptions!$B$23))</f>
        <v/>
      </c>
      <c r="E5" s="67">
        <f>IF(AND(Assumptions!$B$8&gt;=2.99,Assumptions!$B$8&lt;=9.99),Assumptions!$B$9*Assumptions!$B$24,0)</f>
        <v/>
      </c>
      <c r="F5" s="67">
        <f>0</f>
        <v/>
      </c>
      <c r="G5" s="68">
        <f>C5-D5-E5-F5</f>
        <v/>
      </c>
      <c r="H5" s="69">
        <f>IFERROR(G5/C5,0)</f>
        <v/>
      </c>
      <c r="I5" s="67">
        <f>G5-INDEX($G$5:$G$11,MATCH(Assumptions!$B$14,$A$5:$A$11,0))</f>
        <v/>
      </c>
      <c r="J5" s="69">
        <f>IFERROR(I5/ABS(INDEX($G$5:$G$11,MATCH(Assumptions!$B$14,$A$5:$A$11,0))),0)</f>
        <v/>
      </c>
      <c r="K5" s="67">
        <f>INDEX($D$5:$D$11,MATCH(Assumptions!$B$14,$A$5:$A$11,0))-D5</f>
        <v/>
      </c>
      <c r="L5" s="67">
        <f>INDEX($E$5:$E$11,MATCH(Assumptions!$B$14,$A$5:$A$11,0))-E5</f>
        <v/>
      </c>
      <c r="M5" s="67">
        <f>INDEX($F$5:$F$11,MATCH(Assumptions!$B$14,$A$5:$A$11,0))-F5</f>
        <v/>
      </c>
      <c r="N5" s="65">
        <f>RANK(G5,$G$5:$G$11)</f>
        <v/>
      </c>
    </row>
    <row r="6" ht="15" customHeight="1" s="40">
      <c r="A6" s="47" t="inlineStr">
        <is>
          <t>Apple Books (direct)</t>
        </is>
      </c>
      <c r="B6" s="65" t="inlineStr">
        <is>
          <t>Apple Books</t>
        </is>
      </c>
      <c r="C6" s="66">
        <f>Assumptions!$B$8</f>
        <v/>
      </c>
      <c r="D6" s="67">
        <f>C6*(1-Assumptions!$B$39)</f>
        <v/>
      </c>
      <c r="E6" s="67">
        <f>0</f>
        <v/>
      </c>
      <c r="F6" s="67">
        <f>0</f>
        <v/>
      </c>
      <c r="G6" s="68">
        <f>C6-D6-E6-F6</f>
        <v/>
      </c>
      <c r="H6" s="69">
        <f>IFERROR(G6/C6,0)</f>
        <v/>
      </c>
      <c r="I6" s="67">
        <f>G6-INDEX($G$5:$G$11,MATCH(Assumptions!$B$14,$A$5:$A$11,0))</f>
        <v/>
      </c>
      <c r="J6" s="69">
        <f>IFERROR(I6/ABS(INDEX($G$5:$G$11,MATCH(Assumptions!$B$14,$A$5:$A$11,0))),0)</f>
        <v/>
      </c>
      <c r="K6" s="67">
        <f>INDEX($D$5:$D$11,MATCH(Assumptions!$B$14,$A$5:$A$11,0))-D6</f>
        <v/>
      </c>
      <c r="L6" s="67">
        <f>INDEX($E$5:$E$11,MATCH(Assumptions!$B$14,$A$5:$A$11,0))-E6</f>
        <v/>
      </c>
      <c r="M6" s="67">
        <f>INDEX($F$5:$F$11,MATCH(Assumptions!$B$14,$A$5:$A$11,0))-F6</f>
        <v/>
      </c>
      <c r="N6" s="65">
        <f>RANK(G6,$G$5:$G$11)</f>
        <v/>
      </c>
    </row>
    <row r="7" ht="15" customHeight="1" s="40">
      <c r="A7" s="47" t="inlineStr">
        <is>
          <t>B&amp;N Press</t>
        </is>
      </c>
      <c r="B7" s="65" t="inlineStr">
        <is>
          <t>BN.com / Nook</t>
        </is>
      </c>
      <c r="C7" s="66">
        <f>Assumptions!$B$8</f>
        <v/>
      </c>
      <c r="D7" s="67">
        <f>C7*(1-Assumptions!$B$33)</f>
        <v/>
      </c>
      <c r="E7" s="67">
        <f>0</f>
        <v/>
      </c>
      <c r="F7" s="67">
        <f>0</f>
        <v/>
      </c>
      <c r="G7" s="68">
        <f>C7-D7-E7-F7</f>
        <v/>
      </c>
      <c r="H7" s="69">
        <f>IFERROR(G7/C7,0)</f>
        <v/>
      </c>
      <c r="I7" s="67">
        <f>G7-INDEX($G$5:$G$11,MATCH(Assumptions!$B$14,$A$5:$A$11,0))</f>
        <v/>
      </c>
      <c r="J7" s="69">
        <f>IFERROR(I7/ABS(INDEX($G$5:$G$11,MATCH(Assumptions!$B$14,$A$5:$A$11,0))),0)</f>
        <v/>
      </c>
      <c r="K7" s="67">
        <f>INDEX($D$5:$D$11,MATCH(Assumptions!$B$14,$A$5:$A$11,0))-D7</f>
        <v/>
      </c>
      <c r="L7" s="67">
        <f>INDEX($E$5:$E$11,MATCH(Assumptions!$B$14,$A$5:$A$11,0))-E7</f>
        <v/>
      </c>
      <c r="M7" s="67">
        <f>INDEX($F$5:$F$11,MATCH(Assumptions!$B$14,$A$5:$A$11,0))-F7</f>
        <v/>
      </c>
      <c r="N7" s="65">
        <f>RANK(G7,$G$5:$G$11)</f>
        <v/>
      </c>
    </row>
    <row r="8" ht="15" customHeight="1" s="40">
      <c r="A8" s="47" t="inlineStr">
        <is>
          <t>Draft2Digital (via Apple)</t>
        </is>
      </c>
      <c r="B8" s="65" t="inlineStr">
        <is>
          <t>Apple, Kobo, Google, libraries</t>
        </is>
      </c>
      <c r="C8" s="66">
        <f>Assumptions!$B$8</f>
        <v/>
      </c>
      <c r="D8" s="67">
        <f>C8*(1-Assumptions!$B$39)</f>
        <v/>
      </c>
      <c r="E8" s="67">
        <f>0</f>
        <v/>
      </c>
      <c r="F8" s="67">
        <f>(C8-D8)*Assumptions!$B$40</f>
        <v/>
      </c>
      <c r="G8" s="68">
        <f>C8-D8-E8-F8</f>
        <v/>
      </c>
      <c r="H8" s="69">
        <f>IFERROR(G8/C8,0)</f>
        <v/>
      </c>
      <c r="I8" s="67">
        <f>G8-INDEX($G$5:$G$11,MATCH(Assumptions!$B$14,$A$5:$A$11,0))</f>
        <v/>
      </c>
      <c r="J8" s="69">
        <f>IFERROR(I8/ABS(INDEX($G$5:$G$11,MATCH(Assumptions!$B$14,$A$5:$A$11,0))),0)</f>
        <v/>
      </c>
      <c r="K8" s="67">
        <f>INDEX($D$5:$D$11,MATCH(Assumptions!$B$14,$A$5:$A$11,0))-D8</f>
        <v/>
      </c>
      <c r="L8" s="67">
        <f>INDEX($E$5:$E$11,MATCH(Assumptions!$B$14,$A$5:$A$11,0))-E8</f>
        <v/>
      </c>
      <c r="M8" s="67">
        <f>INDEX($F$5:$F$11,MATCH(Assumptions!$B$14,$A$5:$A$11,0))-F8</f>
        <v/>
      </c>
      <c r="N8" s="65">
        <f>RANK(G8,$G$5:$G$11)</f>
        <v/>
      </c>
    </row>
    <row r="9" ht="15" customHeight="1" s="40">
      <c r="A9" s="47" t="inlineStr">
        <is>
          <t>IngramSpark (via Apple)</t>
        </is>
      </c>
      <c r="B9" s="65" t="inlineStr">
        <is>
          <t>Ingram ebook network</t>
        </is>
      </c>
      <c r="C9" s="66">
        <f>Assumptions!$B$8</f>
        <v/>
      </c>
      <c r="D9" s="67">
        <f>C9*(1-Assumptions!$B$39)</f>
        <v/>
      </c>
      <c r="E9" s="67">
        <f>0</f>
        <v/>
      </c>
      <c r="F9" s="67">
        <f>(C9-D9)*Assumptions!$B$29</f>
        <v/>
      </c>
      <c r="G9" s="68">
        <f>C9-D9-E9-F9</f>
        <v/>
      </c>
      <c r="H9" s="69">
        <f>IFERROR(G9/C9,0)</f>
        <v/>
      </c>
      <c r="I9" s="67">
        <f>G9-INDEX($G$5:$G$11,MATCH(Assumptions!$B$14,$A$5:$A$11,0))</f>
        <v/>
      </c>
      <c r="J9" s="69">
        <f>IFERROR(I9/ABS(INDEX($G$5:$G$11,MATCH(Assumptions!$B$14,$A$5:$A$11,0))),0)</f>
        <v/>
      </c>
      <c r="K9" s="67">
        <f>INDEX($D$5:$D$11,MATCH(Assumptions!$B$14,$A$5:$A$11,0))-D9</f>
        <v/>
      </c>
      <c r="L9" s="67">
        <f>INDEX($E$5:$E$11,MATCH(Assumptions!$B$14,$A$5:$A$11,0))-E9</f>
        <v/>
      </c>
      <c r="M9" s="67">
        <f>INDEX($F$5:$F$11,MATCH(Assumptions!$B$14,$A$5:$A$11,0))-F9</f>
        <v/>
      </c>
      <c r="N9" s="65">
        <f>RANK(G9,$G$5:$G$11)</f>
        <v/>
      </c>
    </row>
    <row r="10" ht="15" customHeight="1" s="40">
      <c r="A10" s="47" t="inlineStr">
        <is>
          <t>PublishDrive (via Apple)</t>
        </is>
      </c>
      <c r="B10" s="65" t="inlineStr">
        <is>
          <t>400+ stores</t>
        </is>
      </c>
      <c r="C10" s="66">
        <f>Assumptions!$B$8</f>
        <v/>
      </c>
      <c r="D10" s="67">
        <f>C10*(1-Assumptions!$B$39)</f>
        <v/>
      </c>
      <c r="E10" s="67">
        <f>0</f>
        <v/>
      </c>
      <c r="F10" s="67">
        <f>0</f>
        <v/>
      </c>
      <c r="G10" s="68">
        <f>C10-D10-E10-F10</f>
        <v/>
      </c>
      <c r="H10" s="69">
        <f>IFERROR(G10/C10,0)</f>
        <v/>
      </c>
      <c r="I10" s="67">
        <f>G10-INDEX($G$5:$G$11,MATCH(Assumptions!$B$14,$A$5:$A$11,0))</f>
        <v/>
      </c>
      <c r="J10" s="69">
        <f>IFERROR(I10/ABS(INDEX($G$5:$G$11,MATCH(Assumptions!$B$14,$A$5:$A$11,0))),0)</f>
        <v/>
      </c>
      <c r="K10" s="67">
        <f>INDEX($D$5:$D$11,MATCH(Assumptions!$B$14,$A$5:$A$11,0))-D10</f>
        <v/>
      </c>
      <c r="L10" s="67">
        <f>INDEX($E$5:$E$11,MATCH(Assumptions!$B$14,$A$5:$A$11,0))-E10</f>
        <v/>
      </c>
      <c r="M10" s="67">
        <f>INDEX($F$5:$F$11,MATCH(Assumptions!$B$14,$A$5:$A$11,0))-F10</f>
        <v/>
      </c>
      <c r="N10" s="65">
        <f>RANK(G10,$G$5:$G$11)</f>
        <v/>
      </c>
    </row>
    <row r="11" ht="15" customHeight="1" s="40">
      <c r="A11" s="47" t="inlineStr">
        <is>
          <t>Lulu (Retail)</t>
        </is>
      </c>
      <c r="B11" s="65" t="inlineStr">
        <is>
          <t>Retailers via Lulu</t>
        </is>
      </c>
      <c r="C11" s="66">
        <f>Assumptions!$B$8</f>
        <v/>
      </c>
      <c r="D11" s="67">
        <f>C11*Assumptions!$B$36</f>
        <v/>
      </c>
      <c r="E11" s="67">
        <f>0</f>
        <v/>
      </c>
      <c r="F11" s="67">
        <f>(C11-D11)*Assumptions!$B$37</f>
        <v/>
      </c>
      <c r="G11" s="68">
        <f>C11-D11-E11-F11</f>
        <v/>
      </c>
      <c r="H11" s="69">
        <f>IFERROR(G11/C11,0)</f>
        <v/>
      </c>
      <c r="I11" s="67">
        <f>G11-INDEX($G$5:$G$11,MATCH(Assumptions!$B$14,$A$5:$A$11,0))</f>
        <v/>
      </c>
      <c r="J11" s="69">
        <f>IFERROR(I11/ABS(INDEX($G$5:$G$11,MATCH(Assumptions!$B$14,$A$5:$A$11,0))),0)</f>
        <v/>
      </c>
      <c r="K11" s="67">
        <f>INDEX($D$5:$D$11,MATCH(Assumptions!$B$14,$A$5:$A$11,0))-D11</f>
        <v/>
      </c>
      <c r="L11" s="67">
        <f>INDEX($E$5:$E$11,MATCH(Assumptions!$B$14,$A$5:$A$11,0))-E11</f>
        <v/>
      </c>
      <c r="M11" s="67">
        <f>INDEX($F$5:$F$11,MATCH(Assumptions!$B$14,$A$5:$A$11,0))-F11</f>
        <v/>
      </c>
      <c r="N11" s="65">
        <f>RANK(G11,$G$5:$G$11)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5" customHeight="1" s="40">
      <c r="A13" s="50" t="inlineStr">
        <is>
          <t>Notes: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</row>
    <row r="14" ht="15" customHeight="1" s="40">
      <c r="A14" s="55" t="inlineStr">
        <is>
          <t>KDP pays 70% only between $2.99 and $9.99 and charges a per-MB delivery fee on that tier; outside the band it pays 35% with no delivery fee. The formula switches automatically.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5" customHeight="1" s="40">
      <c r="A15" s="55" t="inlineStr">
        <is>
          <t>Aggregator rows assume the sale happens on Apple Books (70% store payout). Kobo and Google pay similar rates.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</row>
    <row r="16" ht="15" customHeight="1" s="40">
      <c r="A16" s="55" t="inlineStr">
        <is>
          <t>Lulu ebook economics are an estimate based on its published retail distribution fee and commission.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5" customHeight="1" s="40">
      <c r="A17" s="55" t="inlineStr">
        <is>
          <t>PublishDrive keeps 0% of royalties but charges a monthly subscription, which is applied on the Monthly Scenario sheet.</t>
        </is>
      </c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2" customWidth="1" style="39" min="2" max="3"/>
    <col width="11" customWidth="1" style="39" min="4" max="6"/>
    <col width="13" customWidth="1" style="39" min="7" max="9"/>
    <col width="14" customWidth="1" style="39" min="10" max="10"/>
    <col width="70" customWidth="1" style="39" min="11" max="11"/>
  </cols>
  <sheetData>
    <row r="1" ht="17.25" customHeight="1" s="40">
      <c r="A1" s="52" t="inlineStr">
        <is>
          <t>Fixed and Recurring Costs per Title (Year 1)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</row>
    <row r="2" ht="15" customHeight="1" s="40">
      <c r="A2" s="43" t="inlineStr">
        <is>
          <t>Blue cells are inputs. ISBN, account, proof, and subscription values link to the Assumptions sheet.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</row>
    <row r="4" ht="31.5" customHeight="1" s="40">
      <c r="A4" s="46" t="inlineStr">
        <is>
          <t>Platform</t>
        </is>
      </c>
      <c r="B4" s="46" t="inlineStr">
        <is>
          <t>Title setup fee</t>
        </is>
      </c>
      <c r="C4" s="46" t="inlineStr">
        <is>
          <t>Revision fees</t>
        </is>
      </c>
      <c r="D4" s="46" t="inlineStr">
        <is>
          <t>ISBN cost</t>
        </is>
      </c>
      <c r="E4" s="46" t="inlineStr">
        <is>
          <t>Account fee</t>
        </is>
      </c>
      <c r="F4" s="46" t="inlineStr">
        <is>
          <t>Proof copy</t>
        </is>
      </c>
      <c r="G4" s="46" t="inlineStr">
        <is>
          <t>One-time total</t>
        </is>
      </c>
      <c r="H4" s="46" t="inlineStr">
        <is>
          <t>Monthly subscription</t>
        </is>
      </c>
      <c r="I4" s="46" t="inlineStr">
        <is>
          <t>Annual subscription</t>
        </is>
      </c>
      <c r="J4" s="46" t="inlineStr">
        <is>
          <t>Year-1 fixed total</t>
        </is>
      </c>
      <c r="K4" s="46" t="inlineStr">
        <is>
          <t>Notes</t>
        </is>
      </c>
    </row>
    <row r="5" ht="26.25" customHeight="1" s="40">
      <c r="A5" s="47" t="inlineStr">
        <is>
          <t>Amazon KDP</t>
        </is>
      </c>
      <c r="B5" s="70" t="n">
        <v>0</v>
      </c>
      <c r="C5" s="70" t="n">
        <v>0</v>
      </c>
      <c r="D5" s="66">
        <f>0</f>
        <v/>
      </c>
      <c r="E5" s="66">
        <f>0</f>
        <v/>
      </c>
      <c r="F5" s="66">
        <f>0</f>
        <v/>
      </c>
      <c r="G5" s="67">
        <f>SUM(B5:F5)</f>
        <v/>
      </c>
      <c r="H5" s="66">
        <f>0</f>
        <v/>
      </c>
      <c r="I5" s="67">
        <f>H5*12</f>
        <v/>
      </c>
      <c r="J5" s="68">
        <f>G5+I5</f>
        <v/>
      </c>
      <c r="K5" s="71" t="inlineStr">
        <is>
          <t>Free setup, free revisions, free ISBN for print. Ebooks do not need an ISBN.</t>
        </is>
      </c>
    </row>
    <row r="6" ht="26.25" customHeight="1" s="40">
      <c r="A6" s="47" t="inlineStr">
        <is>
          <t>IngramSpark</t>
        </is>
      </c>
      <c r="B6" s="70" t="n">
        <v>0</v>
      </c>
      <c r="C6" s="70" t="n">
        <v>0</v>
      </c>
      <c r="D6" s="66">
        <f>Assumptions!$B$42</f>
        <v/>
      </c>
      <c r="E6" s="66">
        <f>0</f>
        <v/>
      </c>
      <c r="F6" s="66">
        <f>0</f>
        <v/>
      </c>
      <c r="G6" s="67">
        <f>SUM(B6:F6)</f>
        <v/>
      </c>
      <c r="H6" s="66">
        <f>0</f>
        <v/>
      </c>
      <c r="I6" s="67">
        <f>H6*12</f>
        <v/>
      </c>
      <c r="J6" s="68">
        <f>G6+I6</f>
        <v/>
      </c>
      <c r="K6" s="71" t="inlineStr">
        <is>
          <t>Setup free; revisions free since Feb 2026. U.S. publishers supply their own ISBN.</t>
        </is>
      </c>
    </row>
    <row r="7" ht="26.25" customHeight="1" s="40">
      <c r="A7" s="47" t="inlineStr">
        <is>
          <t>Draft2Digital</t>
        </is>
      </c>
      <c r="B7" s="70" t="n">
        <v>0</v>
      </c>
      <c r="C7" s="70" t="n">
        <v>0</v>
      </c>
      <c r="D7" s="66">
        <f>0</f>
        <v/>
      </c>
      <c r="E7" s="66">
        <f>Assumptions!$B$43</f>
        <v/>
      </c>
      <c r="F7" s="66">
        <f>0</f>
        <v/>
      </c>
      <c r="G7" s="67">
        <f>SUM(B7:F7)</f>
        <v/>
      </c>
      <c r="H7" s="66">
        <f>0</f>
        <v/>
      </c>
      <c r="I7" s="67">
        <f>H7*12</f>
        <v/>
      </c>
      <c r="J7" s="68">
        <f>G7+I7</f>
        <v/>
      </c>
      <c r="K7" s="71" t="inlineStr">
        <is>
          <t>Free ISBN (D2D listed as publisher). $20 account fee for new accounts since April 2026.</t>
        </is>
      </c>
    </row>
    <row r="8" ht="15" customHeight="1" s="40">
      <c r="A8" s="47" t="inlineStr">
        <is>
          <t>B&amp;N Press</t>
        </is>
      </c>
      <c r="B8" s="70" t="n">
        <v>0</v>
      </c>
      <c r="C8" s="70" t="n">
        <v>0</v>
      </c>
      <c r="D8" s="66">
        <f>Assumptions!$B$42</f>
        <v/>
      </c>
      <c r="E8" s="66">
        <f>0</f>
        <v/>
      </c>
      <c r="F8" s="66">
        <f>0</f>
        <v/>
      </c>
      <c r="G8" s="67">
        <f>SUM(B8:F8)</f>
        <v/>
      </c>
      <c r="H8" s="66">
        <f>0</f>
        <v/>
      </c>
      <c r="I8" s="67">
        <f>H8*12</f>
        <v/>
      </c>
      <c r="J8" s="68">
        <f>G8+I8</f>
        <v/>
      </c>
      <c r="K8" s="71" t="inlineStr">
        <is>
          <t>Free ISBN covers print only; an ebook needs your own ISBN.</t>
        </is>
      </c>
    </row>
    <row r="9" ht="15" customHeight="1" s="40">
      <c r="A9" s="47" t="inlineStr">
        <is>
          <t>Lulu</t>
        </is>
      </c>
      <c r="B9" s="70" t="n">
        <v>0</v>
      </c>
      <c r="C9" s="70" t="n">
        <v>0</v>
      </c>
      <c r="D9" s="66">
        <f>0</f>
        <v/>
      </c>
      <c r="E9" s="66">
        <f>0</f>
        <v/>
      </c>
      <c r="F9" s="66">
        <f>Assumptions!$B$44</f>
        <v/>
      </c>
      <c r="G9" s="67">
        <f>SUM(B9:F9)</f>
        <v/>
      </c>
      <c r="H9" s="66">
        <f>0</f>
        <v/>
      </c>
      <c r="I9" s="67">
        <f>H9*12</f>
        <v/>
      </c>
      <c r="J9" s="68">
        <f>G9+I9</f>
        <v/>
      </c>
      <c r="K9" s="71" t="inlineStr">
        <is>
          <t>Free to publish. Proof copy required before print distribution.</t>
        </is>
      </c>
    </row>
    <row r="10" ht="26.25" customHeight="1" s="40">
      <c r="A10" s="47" t="inlineStr">
        <is>
          <t>PublishDrive</t>
        </is>
      </c>
      <c r="B10" s="70" t="n">
        <v>0</v>
      </c>
      <c r="C10" s="70" t="n">
        <v>0</v>
      </c>
      <c r="D10" s="66">
        <f>Assumptions!$B$42</f>
        <v/>
      </c>
      <c r="E10" s="66">
        <f>0</f>
        <v/>
      </c>
      <c r="F10" s="66">
        <f>0</f>
        <v/>
      </c>
      <c r="G10" s="67">
        <f>SUM(B10:F10)</f>
        <v/>
      </c>
      <c r="H10" s="66">
        <f>Assumptions!$B$45</f>
        <v/>
      </c>
      <c r="I10" s="67">
        <f>H10*12</f>
        <v/>
      </c>
      <c r="J10" s="68">
        <f>G10+I10</f>
        <v/>
      </c>
      <c r="K10" s="71" t="inlineStr">
        <is>
          <t>0% commission; paid plans from $13.99/mo. Free plan covers 1 title (set subscription to 0 to model it).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9" min="1" max="1"/>
    <col width="24" customWidth="1" style="39" min="2" max="3"/>
    <col width="12" customWidth="1" style="39" min="4" max="5"/>
    <col width="11" customWidth="1" style="39" min="6" max="7"/>
    <col width="13" customWidth="1" style="39" min="8" max="9"/>
    <col width="12" customWidth="1" style="39" min="10" max="10"/>
    <col width="13" customWidth="1" style="39" min="11" max="12"/>
    <col width="15" customWidth="1" style="39" min="13" max="14"/>
    <col width="7" customWidth="1" style="39" min="15" max="15"/>
  </cols>
  <sheetData>
    <row r="1" ht="17.25" customHeight="1" s="40">
      <c r="A1" s="52" t="inlineStr">
        <is>
          <t>Monthly and Year-1 Earnings at Assumed Volume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</row>
    <row r="2" ht="15" customHeight="1" s="40">
      <c r="A2" s="43">
        <f>"Volume: "&amp;Assumptions!$B$10&amp;" print + "&amp;Assumptions!$B$11&amp;" ebook units per month per platform   |   Baseline: "&amp;Assumptions!$B$15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</row>
    <row r="4" ht="31.5" customHeight="1" s="40">
      <c r="A4" s="46" t="inlineStr">
        <is>
          <t>Platform</t>
        </is>
      </c>
      <c r="B4" s="46" t="inlineStr">
        <is>
          <t>Print row used</t>
        </is>
      </c>
      <c r="C4" s="46" t="inlineStr">
        <is>
          <t>Ebook row used</t>
        </is>
      </c>
      <c r="D4" s="46" t="inlineStr">
        <is>
          <t>Print net / unit</t>
        </is>
      </c>
      <c r="E4" s="46" t="inlineStr">
        <is>
          <t>Ebook net / unit</t>
        </is>
      </c>
      <c r="F4" s="46" t="inlineStr">
        <is>
          <t>Print units / mo</t>
        </is>
      </c>
      <c r="G4" s="46" t="inlineStr">
        <is>
          <t>Ebook units / mo</t>
        </is>
      </c>
      <c r="H4" s="46" t="inlineStr">
        <is>
          <t>Monthly royalties</t>
        </is>
      </c>
      <c r="I4" s="46" t="inlineStr">
        <is>
          <t>Monthly subscription</t>
        </is>
      </c>
      <c r="J4" s="46" t="inlineStr">
        <is>
          <t>Monthly net</t>
        </is>
      </c>
      <c r="K4" s="46" t="inlineStr">
        <is>
          <t>Year-1 net (12 mo)</t>
        </is>
      </c>
      <c r="L4" s="46" t="inlineStr">
        <is>
          <t>Year-1 one-time costs</t>
        </is>
      </c>
      <c r="M4" s="46" t="inlineStr">
        <is>
          <t>Year-1 net after fixed costs</t>
        </is>
      </c>
      <c r="N4" s="46" t="inlineStr">
        <is>
          <t>Variance vs baseline (Year 1)</t>
        </is>
      </c>
      <c r="O4" s="46" t="inlineStr">
        <is>
          <t>Rank</t>
        </is>
      </c>
    </row>
    <row r="5" ht="15" customHeight="1" s="40">
      <c r="A5" s="47" t="inlineStr">
        <is>
          <t>Amazon KDP</t>
        </is>
      </c>
      <c r="B5" s="58" t="inlineStr">
        <is>
          <t>Amazon KDP</t>
        </is>
      </c>
      <c r="C5" s="58" t="inlineStr">
        <is>
          <t>Amazon KDP</t>
        </is>
      </c>
      <c r="D5" s="66">
        <f>INDEX('Print Unit Econ'!$G$5:$G$11,MATCH(B5,'Print Unit Econ'!$A$5:$A$11,0))</f>
        <v/>
      </c>
      <c r="E5" s="66">
        <f>INDEX('Ebook Unit Econ'!$G$5:$G$11,MATCH(C5,'Ebook Unit Econ'!$A$5:$A$11,0))</f>
        <v/>
      </c>
      <c r="F5" s="72">
        <f>Assumptions!$B$10</f>
        <v/>
      </c>
      <c r="G5" s="72">
        <f>Assumptions!$B$11</f>
        <v/>
      </c>
      <c r="H5" s="67">
        <f>D5*F5+E5*G5</f>
        <v/>
      </c>
      <c r="I5" s="66">
        <f>INDEX('Fixed Costs'!$H$5:$H$10,MATCH(A5,'Fixed Costs'!$A$5:$A$10,0))</f>
        <v/>
      </c>
      <c r="J5" s="67">
        <f>H5-I5</f>
        <v/>
      </c>
      <c r="K5" s="67">
        <f>J5*12</f>
        <v/>
      </c>
      <c r="L5" s="66">
        <f>INDEX('Fixed Costs'!$G$5:$G$10,MATCH(A5,'Fixed Costs'!$A$5:$A$10,0))</f>
        <v/>
      </c>
      <c r="M5" s="68">
        <f>K5-L5</f>
        <v/>
      </c>
      <c r="N5" s="67">
        <f>M5-INDEX($M$5:$M$10,MATCH(Assumptions!$B$15,$A$5:$A$10,0))</f>
        <v/>
      </c>
      <c r="O5" s="65">
        <f>RANK(M5,$M$5:$M$10)</f>
        <v/>
      </c>
    </row>
    <row r="6" ht="15" customHeight="1" s="40">
      <c r="A6" s="47" t="inlineStr">
        <is>
          <t>IngramSpark</t>
        </is>
      </c>
      <c r="B6" s="58" t="inlineStr">
        <is>
          <t>IngramSpark</t>
        </is>
      </c>
      <c r="C6" s="58" t="inlineStr">
        <is>
          <t>IngramSpark (via Apple)</t>
        </is>
      </c>
      <c r="D6" s="66">
        <f>INDEX('Print Unit Econ'!$G$5:$G$11,MATCH(B6,'Print Unit Econ'!$A$5:$A$11,0))</f>
        <v/>
      </c>
      <c r="E6" s="66">
        <f>INDEX('Ebook Unit Econ'!$G$5:$G$11,MATCH(C6,'Ebook Unit Econ'!$A$5:$A$11,0))</f>
        <v/>
      </c>
      <c r="F6" s="72">
        <f>Assumptions!$B$10</f>
        <v/>
      </c>
      <c r="G6" s="72">
        <f>Assumptions!$B$11</f>
        <v/>
      </c>
      <c r="H6" s="67">
        <f>D6*F6+E6*G6</f>
        <v/>
      </c>
      <c r="I6" s="66">
        <f>INDEX('Fixed Costs'!$H$5:$H$10,MATCH(A6,'Fixed Costs'!$A$5:$A$10,0))</f>
        <v/>
      </c>
      <c r="J6" s="67">
        <f>H6-I6</f>
        <v/>
      </c>
      <c r="K6" s="67">
        <f>J6*12</f>
        <v/>
      </c>
      <c r="L6" s="66">
        <f>INDEX('Fixed Costs'!$G$5:$G$10,MATCH(A6,'Fixed Costs'!$A$5:$A$10,0))</f>
        <v/>
      </c>
      <c r="M6" s="68">
        <f>K6-L6</f>
        <v/>
      </c>
      <c r="N6" s="67">
        <f>M6-INDEX($M$5:$M$10,MATCH(Assumptions!$B$15,$A$5:$A$10,0))</f>
        <v/>
      </c>
      <c r="O6" s="65">
        <f>RANK(M6,$M$5:$M$10)</f>
        <v/>
      </c>
    </row>
    <row r="7" ht="15" customHeight="1" s="40">
      <c r="A7" s="47" t="inlineStr">
        <is>
          <t>B&amp;N Press</t>
        </is>
      </c>
      <c r="B7" s="58" t="inlineStr">
        <is>
          <t>B&amp;N Press</t>
        </is>
      </c>
      <c r="C7" s="58" t="inlineStr">
        <is>
          <t>B&amp;N Press</t>
        </is>
      </c>
      <c r="D7" s="66">
        <f>INDEX('Print Unit Econ'!$G$5:$G$11,MATCH(B7,'Print Unit Econ'!$A$5:$A$11,0))</f>
        <v/>
      </c>
      <c r="E7" s="66">
        <f>INDEX('Ebook Unit Econ'!$G$5:$G$11,MATCH(C7,'Ebook Unit Econ'!$A$5:$A$11,0))</f>
        <v/>
      </c>
      <c r="F7" s="72">
        <f>Assumptions!$B$10</f>
        <v/>
      </c>
      <c r="G7" s="72">
        <f>Assumptions!$B$11</f>
        <v/>
      </c>
      <c r="H7" s="67">
        <f>D7*F7+E7*G7</f>
        <v/>
      </c>
      <c r="I7" s="66">
        <f>INDEX('Fixed Costs'!$H$5:$H$10,MATCH(A7,'Fixed Costs'!$A$5:$A$10,0))</f>
        <v/>
      </c>
      <c r="J7" s="67">
        <f>H7-I7</f>
        <v/>
      </c>
      <c r="K7" s="67">
        <f>J7*12</f>
        <v/>
      </c>
      <c r="L7" s="66">
        <f>INDEX('Fixed Costs'!$G$5:$G$10,MATCH(A7,'Fixed Costs'!$A$5:$A$10,0))</f>
        <v/>
      </c>
      <c r="M7" s="68">
        <f>K7-L7</f>
        <v/>
      </c>
      <c r="N7" s="67">
        <f>M7-INDEX($M$5:$M$10,MATCH(Assumptions!$B$15,$A$5:$A$10,0))</f>
        <v/>
      </c>
      <c r="O7" s="65">
        <f>RANK(M7,$M$5:$M$10)</f>
        <v/>
      </c>
    </row>
    <row r="8" ht="15" customHeight="1" s="40">
      <c r="A8" s="47" t="inlineStr">
        <is>
          <t>Lulu</t>
        </is>
      </c>
      <c r="B8" s="58" t="inlineStr">
        <is>
          <t>Lulu (Retail)</t>
        </is>
      </c>
      <c r="C8" s="58" t="inlineStr">
        <is>
          <t>Lulu (Retail)</t>
        </is>
      </c>
      <c r="D8" s="66">
        <f>INDEX('Print Unit Econ'!$G$5:$G$11,MATCH(B8,'Print Unit Econ'!$A$5:$A$11,0))</f>
        <v/>
      </c>
      <c r="E8" s="66">
        <f>INDEX('Ebook Unit Econ'!$G$5:$G$11,MATCH(C8,'Ebook Unit Econ'!$A$5:$A$11,0))</f>
        <v/>
      </c>
      <c r="F8" s="72">
        <f>Assumptions!$B$10</f>
        <v/>
      </c>
      <c r="G8" s="72">
        <f>Assumptions!$B$11</f>
        <v/>
      </c>
      <c r="H8" s="67">
        <f>D8*F8+E8*G8</f>
        <v/>
      </c>
      <c r="I8" s="66">
        <f>INDEX('Fixed Costs'!$H$5:$H$10,MATCH(A8,'Fixed Costs'!$A$5:$A$10,0))</f>
        <v/>
      </c>
      <c r="J8" s="67">
        <f>H8-I8</f>
        <v/>
      </c>
      <c r="K8" s="67">
        <f>J8*12</f>
        <v/>
      </c>
      <c r="L8" s="66">
        <f>INDEX('Fixed Costs'!$G$5:$G$10,MATCH(A8,'Fixed Costs'!$A$5:$A$10,0))</f>
        <v/>
      </c>
      <c r="M8" s="68">
        <f>K8-L8</f>
        <v/>
      </c>
      <c r="N8" s="67">
        <f>M8-INDEX($M$5:$M$10,MATCH(Assumptions!$B$15,$A$5:$A$10,0))</f>
        <v/>
      </c>
      <c r="O8" s="65">
        <f>RANK(M8,$M$5:$M$10)</f>
        <v/>
      </c>
    </row>
    <row r="9" ht="15" customHeight="1" s="40">
      <c r="A9" s="47" t="inlineStr">
        <is>
          <t>PublishDrive</t>
        </is>
      </c>
      <c r="B9" s="58" t="inlineStr">
        <is>
          <t>PublishDrive</t>
        </is>
      </c>
      <c r="C9" s="58" t="inlineStr">
        <is>
          <t>PublishDrive (via Apple)</t>
        </is>
      </c>
      <c r="D9" s="66">
        <f>INDEX('Print Unit Econ'!$G$5:$G$11,MATCH(B9,'Print Unit Econ'!$A$5:$A$11,0))</f>
        <v/>
      </c>
      <c r="E9" s="66">
        <f>INDEX('Ebook Unit Econ'!$G$5:$G$11,MATCH(C9,'Ebook Unit Econ'!$A$5:$A$11,0))</f>
        <v/>
      </c>
      <c r="F9" s="72">
        <f>Assumptions!$B$10</f>
        <v/>
      </c>
      <c r="G9" s="72">
        <f>Assumptions!$B$11</f>
        <v/>
      </c>
      <c r="H9" s="67">
        <f>D9*F9+E9*G9</f>
        <v/>
      </c>
      <c r="I9" s="66">
        <f>INDEX('Fixed Costs'!$H$5:$H$10,MATCH(A9,'Fixed Costs'!$A$5:$A$10,0))</f>
        <v/>
      </c>
      <c r="J9" s="67">
        <f>H9-I9</f>
        <v/>
      </c>
      <c r="K9" s="67">
        <f>J9*12</f>
        <v/>
      </c>
      <c r="L9" s="66">
        <f>INDEX('Fixed Costs'!$G$5:$G$10,MATCH(A9,'Fixed Costs'!$A$5:$A$10,0))</f>
        <v/>
      </c>
      <c r="M9" s="68">
        <f>K9-L9</f>
        <v/>
      </c>
      <c r="N9" s="67">
        <f>M9-INDEX($M$5:$M$10,MATCH(Assumptions!$B$15,$A$5:$A$10,0))</f>
        <v/>
      </c>
      <c r="O9" s="65">
        <f>RANK(M9,$M$5:$M$10)</f>
        <v/>
      </c>
    </row>
    <row r="10" ht="15" customHeight="1" s="40">
      <c r="A10" s="47" t="inlineStr">
        <is>
          <t>Draft2Digital</t>
        </is>
      </c>
      <c r="B10" s="58" t="inlineStr">
        <is>
          <t>(not modeled)</t>
        </is>
      </c>
      <c r="C10" s="58" t="inlineStr">
        <is>
          <t>Draft2Digital (via Apple)</t>
        </is>
      </c>
      <c r="D10" s="70" t="n">
        <v>0</v>
      </c>
      <c r="E10" s="66">
        <f>INDEX('Ebook Unit Econ'!$G$5:$G$11,MATCH(C10,'Ebook Unit Econ'!$A$5:$A$11,0))</f>
        <v/>
      </c>
      <c r="F10" s="58" t="n">
        <v>0</v>
      </c>
      <c r="G10" s="72">
        <f>Assumptions!$B$11</f>
        <v/>
      </c>
      <c r="H10" s="67">
        <f>D10*F10+E10*G10</f>
        <v/>
      </c>
      <c r="I10" s="66">
        <f>INDEX('Fixed Costs'!$H$5:$H$10,MATCH(A10,'Fixed Costs'!$A$5:$A$10,0))</f>
        <v/>
      </c>
      <c r="J10" s="67">
        <f>H10-I10</f>
        <v/>
      </c>
      <c r="K10" s="67">
        <f>J10*12</f>
        <v/>
      </c>
      <c r="L10" s="66">
        <f>INDEX('Fixed Costs'!$G$5:$G$10,MATCH(A10,'Fixed Costs'!$A$5:$A$10,0))</f>
        <v/>
      </c>
      <c r="M10" s="68">
        <f>K10-L10</f>
        <v/>
      </c>
      <c r="N10" s="67">
        <f>M10-INDEX($M$5:$M$10,MATCH(Assumptions!$B$15,$A$5:$A$10,0))</f>
        <v/>
      </c>
      <c r="O10" s="65">
        <f>RANK(M10,$M$5:$M$10)</f>
        <v/>
      </c>
    </row>
    <row r="11" ht="15" customHeight="1" s="40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</row>
    <row r="12" ht="15" customHeight="1" s="40">
      <c r="A12" s="50" t="inlineStr">
        <is>
          <t>Notes:</t>
        </is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</row>
    <row r="13" ht="15" customHeight="1" s="40">
      <c r="A13" s="55" t="inlineStr">
        <is>
          <t>Each row assumes the same unit volume on every platform so the per-sale economics can be compared directly. In practice, reach differs: KDP covers Amazon only, while IngramSpark and PublishDrive reach bookstores and libraries.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</row>
    <row r="14" ht="15" customHeight="1" s="40">
      <c r="A14" s="55" t="inlineStr">
        <is>
          <t>Draft2Digital print (D2D Print) is not modeled because current per-unit print terms were not available; the row shows ebook earnings only.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</row>
    <row r="15" ht="15" customHeight="1" s="40">
      <c r="A15" s="55" t="inlineStr">
        <is>
          <t>You can change which unit-economics row each platform uses in columns B and C (the names must match exactly).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4" customWidth="1" style="39" min="2" max="7"/>
  </cols>
  <sheetData>
    <row r="1" ht="17.25" customHeight="1" s="40">
      <c r="A1" s="52" t="inlineStr">
        <is>
          <t>Monthly Net by Volume (equal print and ebook units)</t>
        </is>
      </c>
      <c r="B1" s="42" t="n"/>
      <c r="C1" s="42" t="n"/>
      <c r="D1" s="42" t="n"/>
      <c r="E1" s="42" t="n"/>
      <c r="F1" s="42" t="n"/>
      <c r="G1" s="42" t="n"/>
    </row>
    <row r="2" ht="15" customHeight="1" s="40">
      <c r="A2" s="43" t="inlineStr">
        <is>
          <t>Blue volume levels in row 4 are editable. Monthly net = units x (print net + ebook net) - monthly subscription.</t>
        </is>
      </c>
      <c r="B2" s="42" t="n"/>
      <c r="C2" s="42" t="n"/>
      <c r="D2" s="42" t="n"/>
      <c r="E2" s="42" t="n"/>
      <c r="F2" s="42" t="n"/>
      <c r="G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</row>
    <row r="4" ht="31.5" customHeight="1" s="40">
      <c r="A4" s="46" t="inlineStr">
        <is>
          <t>Platform</t>
        </is>
      </c>
      <c r="B4" s="46" t="inlineStr">
        <is>
          <t>10 units/mo</t>
        </is>
      </c>
      <c r="C4" s="46" t="inlineStr">
        <is>
          <t>25 units/mo</t>
        </is>
      </c>
      <c r="D4" s="46" t="inlineStr">
        <is>
          <t>50 units/mo</t>
        </is>
      </c>
      <c r="E4" s="46" t="inlineStr">
        <is>
          <t>100 units/mo</t>
        </is>
      </c>
      <c r="F4" s="46" t="inlineStr">
        <is>
          <t>250 units/mo</t>
        </is>
      </c>
      <c r="G4" s="46" t="inlineStr">
        <is>
          <t>500 units/mo</t>
        </is>
      </c>
    </row>
    <row r="5" ht="15" customHeight="1" s="40">
      <c r="A5" s="50" t="inlineStr">
        <is>
          <t>Units per format / month</t>
        </is>
      </c>
      <c r="B5" s="58" t="n">
        <v>10</v>
      </c>
      <c r="C5" s="58" t="n">
        <v>25</v>
      </c>
      <c r="D5" s="58" t="n">
        <v>50</v>
      </c>
      <c r="E5" s="58" t="n">
        <v>100</v>
      </c>
      <c r="F5" s="58" t="n">
        <v>250</v>
      </c>
      <c r="G5" s="58" t="n">
        <v>500</v>
      </c>
    </row>
    <row r="6" ht="15" customHeight="1" s="40">
      <c r="A6" s="47" t="inlineStr">
        <is>
          <t>Amazon KDP</t>
        </is>
      </c>
      <c r="B6" s="73">
        <f>B$5*('Monthly Scenario'!$D$5+'Monthly Scenario'!$E$5)-'Monthly Scenario'!$I$5</f>
        <v/>
      </c>
      <c r="C6" s="73">
        <f>C$5*('Monthly Scenario'!$D$5+'Monthly Scenario'!$E$5)-'Monthly Scenario'!$I$5</f>
        <v/>
      </c>
      <c r="D6" s="73">
        <f>D$5*('Monthly Scenario'!$D$5+'Monthly Scenario'!$E$5)-'Monthly Scenario'!$I$5</f>
        <v/>
      </c>
      <c r="E6" s="73">
        <f>E$5*('Monthly Scenario'!$D$5+'Monthly Scenario'!$E$5)-'Monthly Scenario'!$I$5</f>
        <v/>
      </c>
      <c r="F6" s="73">
        <f>F$5*('Monthly Scenario'!$D$5+'Monthly Scenario'!$E$5)-'Monthly Scenario'!$I$5</f>
        <v/>
      </c>
      <c r="G6" s="73">
        <f>G$5*('Monthly Scenario'!$D$5+'Monthly Scenario'!$E$5)-'Monthly Scenario'!$I$5</f>
        <v/>
      </c>
    </row>
    <row r="7" ht="15" customHeight="1" s="40">
      <c r="A7" s="47" t="inlineStr">
        <is>
          <t>IngramSpark</t>
        </is>
      </c>
      <c r="B7" s="73">
        <f>B$5*('Monthly Scenario'!$D$6+'Monthly Scenario'!$E$6)-'Monthly Scenario'!$I$6</f>
        <v/>
      </c>
      <c r="C7" s="73">
        <f>C$5*('Monthly Scenario'!$D$6+'Monthly Scenario'!$E$6)-'Monthly Scenario'!$I$6</f>
        <v/>
      </c>
      <c r="D7" s="73">
        <f>D$5*('Monthly Scenario'!$D$6+'Monthly Scenario'!$E$6)-'Monthly Scenario'!$I$6</f>
        <v/>
      </c>
      <c r="E7" s="73">
        <f>E$5*('Monthly Scenario'!$D$6+'Monthly Scenario'!$E$6)-'Monthly Scenario'!$I$6</f>
        <v/>
      </c>
      <c r="F7" s="73">
        <f>F$5*('Monthly Scenario'!$D$6+'Monthly Scenario'!$E$6)-'Monthly Scenario'!$I$6</f>
        <v/>
      </c>
      <c r="G7" s="73">
        <f>G$5*('Monthly Scenario'!$D$6+'Monthly Scenario'!$E$6)-'Monthly Scenario'!$I$6</f>
        <v/>
      </c>
    </row>
    <row r="8" ht="15" customHeight="1" s="40">
      <c r="A8" s="47" t="inlineStr">
        <is>
          <t>B&amp;N Press</t>
        </is>
      </c>
      <c r="B8" s="73">
        <f>B$5*('Monthly Scenario'!$D$7+'Monthly Scenario'!$E$7)-'Monthly Scenario'!$I$7</f>
        <v/>
      </c>
      <c r="C8" s="73">
        <f>C$5*('Monthly Scenario'!$D$7+'Monthly Scenario'!$E$7)-'Monthly Scenario'!$I$7</f>
        <v/>
      </c>
      <c r="D8" s="73">
        <f>D$5*('Monthly Scenario'!$D$7+'Monthly Scenario'!$E$7)-'Monthly Scenario'!$I$7</f>
        <v/>
      </c>
      <c r="E8" s="73">
        <f>E$5*('Monthly Scenario'!$D$7+'Monthly Scenario'!$E$7)-'Monthly Scenario'!$I$7</f>
        <v/>
      </c>
      <c r="F8" s="73">
        <f>F$5*('Monthly Scenario'!$D$7+'Monthly Scenario'!$E$7)-'Monthly Scenario'!$I$7</f>
        <v/>
      </c>
      <c r="G8" s="73">
        <f>G$5*('Monthly Scenario'!$D$7+'Monthly Scenario'!$E$7)-'Monthly Scenario'!$I$7</f>
        <v/>
      </c>
    </row>
    <row r="9" ht="15" customHeight="1" s="40">
      <c r="A9" s="47" t="inlineStr">
        <is>
          <t>Lulu</t>
        </is>
      </c>
      <c r="B9" s="73">
        <f>B$5*('Monthly Scenario'!$D$8+'Monthly Scenario'!$E$8)-'Monthly Scenario'!$I$8</f>
        <v/>
      </c>
      <c r="C9" s="73">
        <f>C$5*('Monthly Scenario'!$D$8+'Monthly Scenario'!$E$8)-'Monthly Scenario'!$I$8</f>
        <v/>
      </c>
      <c r="D9" s="73">
        <f>D$5*('Monthly Scenario'!$D$8+'Monthly Scenario'!$E$8)-'Monthly Scenario'!$I$8</f>
        <v/>
      </c>
      <c r="E9" s="73">
        <f>E$5*('Monthly Scenario'!$D$8+'Monthly Scenario'!$E$8)-'Monthly Scenario'!$I$8</f>
        <v/>
      </c>
      <c r="F9" s="73">
        <f>F$5*('Monthly Scenario'!$D$8+'Monthly Scenario'!$E$8)-'Monthly Scenario'!$I$8</f>
        <v/>
      </c>
      <c r="G9" s="73">
        <f>G$5*('Monthly Scenario'!$D$8+'Monthly Scenario'!$E$8)-'Monthly Scenario'!$I$8</f>
        <v/>
      </c>
    </row>
    <row r="10" ht="15" customHeight="1" s="40">
      <c r="A10" s="47" t="inlineStr">
        <is>
          <t>PublishDrive</t>
        </is>
      </c>
      <c r="B10" s="73">
        <f>B$5*('Monthly Scenario'!$D$9+'Monthly Scenario'!$E$9)-'Monthly Scenario'!$I$9</f>
        <v/>
      </c>
      <c r="C10" s="73">
        <f>C$5*('Monthly Scenario'!$D$9+'Monthly Scenario'!$E$9)-'Monthly Scenario'!$I$9</f>
        <v/>
      </c>
      <c r="D10" s="73">
        <f>D$5*('Monthly Scenario'!$D$9+'Monthly Scenario'!$E$9)-'Monthly Scenario'!$I$9</f>
        <v/>
      </c>
      <c r="E10" s="73">
        <f>E$5*('Monthly Scenario'!$D$9+'Monthly Scenario'!$E$9)-'Monthly Scenario'!$I$9</f>
        <v/>
      </c>
      <c r="F10" s="73">
        <f>F$5*('Monthly Scenario'!$D$9+'Monthly Scenario'!$E$9)-'Monthly Scenario'!$I$9</f>
        <v/>
      </c>
      <c r="G10" s="73">
        <f>G$5*('Monthly Scenario'!$D$9+'Monthly Scenario'!$E$9)-'Monthly Scenario'!$I$9</f>
        <v/>
      </c>
    </row>
    <row r="11" ht="15" customHeight="1" s="40">
      <c r="A11" s="47" t="inlineStr">
        <is>
          <t>Draft2Digital</t>
        </is>
      </c>
      <c r="B11" s="73">
        <f>B$5*('Monthly Scenario'!$D$10+'Monthly Scenario'!$E$10)-'Monthly Scenario'!$I$10</f>
        <v/>
      </c>
      <c r="C11" s="73">
        <f>C$5*('Monthly Scenario'!$D$10+'Monthly Scenario'!$E$10)-'Monthly Scenario'!$I$10</f>
        <v/>
      </c>
      <c r="D11" s="73">
        <f>D$5*('Monthly Scenario'!$D$10+'Monthly Scenario'!$E$10)-'Monthly Scenario'!$I$10</f>
        <v/>
      </c>
      <c r="E11" s="73">
        <f>E$5*('Monthly Scenario'!$D$10+'Monthly Scenario'!$E$10)-'Monthly Scenario'!$I$10</f>
        <v/>
      </c>
      <c r="F11" s="73">
        <f>F$5*('Monthly Scenario'!$D$10+'Monthly Scenario'!$E$10)-'Monthly Scenario'!$I$10</f>
        <v/>
      </c>
      <c r="G11" s="73">
        <f>G$5*('Monthly Scenario'!$D$10+'Monthly Scenario'!$E$10)-'Monthly Scenario'!$I$10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</row>
    <row r="13" ht="15" customHeight="1" s="40">
      <c r="A13" s="53" t="inlineStr">
        <is>
          <t>Break-even analysis</t>
        </is>
      </c>
      <c r="B13" s="42" t="n"/>
      <c r="C13" s="42" t="n"/>
      <c r="D13" s="42" t="n"/>
      <c r="E13" s="42" t="n"/>
      <c r="F13" s="42" t="n"/>
      <c r="G13" s="42" t="n"/>
    </row>
    <row r="14" ht="30" customHeight="1" s="40">
      <c r="A14" s="74" t="inlineStr">
        <is>
          <t>PublishDrive vs IngramSpark: units/mo (each format) where PublishDrive pulls ahead</t>
        </is>
      </c>
      <c r="E14" s="75">
        <f>IFERROR('Monthly Scenario'!I9/(('Monthly Scenario'!D9+'Monthly Scenario'!E9)-('Monthly Scenario'!D6+'Monthly Scenario'!E6)),"n/a")</f>
        <v/>
      </c>
      <c r="F14" s="42" t="n"/>
      <c r="G14" s="42" t="n"/>
    </row>
    <row r="15" ht="30" customHeight="1" s="40">
      <c r="A15" s="74" t="inlineStr">
        <is>
          <t>PublishDrive vs Draft2Digital (ebook only): ebook units/mo where PublishDrive pulls ahead</t>
        </is>
      </c>
      <c r="E15" s="75">
        <f>IFERROR('Monthly Scenario'!I9/('Monthly Scenario'!E9-'Monthly Scenario'!E10),"n/a")</f>
        <v/>
      </c>
      <c r="F15" s="42" t="n"/>
      <c r="G15" s="42" t="n"/>
    </row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48" customWidth="1" style="39" min="2" max="2"/>
    <col width="95" customWidth="1" style="39" min="3" max="3"/>
  </cols>
  <sheetData>
    <row r="1" ht="17.25" customHeight="1" s="40">
      <c r="A1" s="52" t="inlineStr">
        <is>
          <t>Sources</t>
        </is>
      </c>
      <c r="B1" s="42" t="n"/>
      <c r="C1" s="42" t="n"/>
    </row>
    <row r="2" ht="15" customHeight="1" s="40">
      <c r="A2" s="42" t="n"/>
      <c r="B2" s="42" t="n"/>
      <c r="C2" s="42" t="n"/>
    </row>
    <row r="3" ht="31.5" customHeight="1" s="40">
      <c r="A3" s="46" t="inlineStr">
        <is>
          <t>Topic</t>
        </is>
      </c>
      <c r="B3" s="46" t="inlineStr">
        <is>
          <t>Source</t>
        </is>
      </c>
      <c r="C3" s="46" t="inlineStr">
        <is>
          <t>URL</t>
        </is>
      </c>
    </row>
    <row r="4" ht="15" customHeight="1" s="40">
      <c r="A4" s="55" t="inlineStr">
        <is>
          <t>IngramSpark 2026 fees</t>
        </is>
      </c>
      <c r="B4" s="55" t="inlineStr">
        <is>
          <t>IngramSpark Help Center: Changes in Print Cost, Market Access Fee and More</t>
        </is>
      </c>
      <c r="C4" s="76" t="inlineStr">
        <is>
          <t>https://help.ingramspark.com/hc/en-us/articles/41657495062029-Changes-in-Print-Cost-Market-Access-Fee-and-More</t>
        </is>
      </c>
    </row>
    <row r="5" ht="15" customHeight="1" s="40">
      <c r="A5" s="55" t="inlineStr">
        <is>
          <t>IngramSpark digital fee, payment terms</t>
        </is>
      </c>
      <c r="B5" s="55" t="inlineStr">
        <is>
          <t>IngramSpark Agreement (pasted by user), Sec. 8 and 9</t>
        </is>
      </c>
      <c r="C5" s="76" t="inlineStr">
        <is>
          <t>https://www.ingramspark.com/</t>
        </is>
      </c>
    </row>
    <row r="6" ht="15" customHeight="1" s="40">
      <c r="A6" s="55" t="inlineStr">
        <is>
          <t>IngramSpark fees, ISBN prices</t>
        </is>
      </c>
      <c r="B6" s="55" t="inlineStr">
        <is>
          <t>ScribeCount: How to Publish on IngramSpark</t>
        </is>
      </c>
      <c r="C6" s="76" t="inlineStr">
        <is>
          <t>https://scribecount.com/author-resource/publishing-a-book/How-to-Publish-on-IngramSpark</t>
        </is>
      </c>
    </row>
    <row r="7" ht="15" customHeight="1" s="40">
      <c r="A7" s="55" t="inlineStr">
        <is>
          <t>Royalty formulas across platforms</t>
        </is>
      </c>
      <c r="B7" s="55" t="inlineStr">
        <is>
          <t>Daniel Tortora: Self-Publishing Royalties 2026</t>
        </is>
      </c>
      <c r="C7" s="76" t="inlineStr">
        <is>
          <t>https://danieljtortora.com/blog/self-publishing-royalties</t>
        </is>
      </c>
    </row>
    <row r="8" ht="15" customHeight="1" s="40">
      <c r="A8" s="55" t="inlineStr">
        <is>
          <t>KDP print costs and delivery fee</t>
        </is>
      </c>
      <c r="B8" s="55" t="inlineStr">
        <is>
          <t>Profitable.app: KDP Royalty Calculator</t>
        </is>
      </c>
      <c r="C8" s="76" t="inlineStr">
        <is>
          <t>https://profitable.app/tools/kdp-royalty-calculator</t>
        </is>
      </c>
    </row>
    <row r="9" ht="15" customHeight="1" s="40">
      <c r="A9" s="55" t="inlineStr">
        <is>
          <t>KDP print royalties</t>
        </is>
      </c>
      <c r="B9" s="55" t="inlineStr">
        <is>
          <t>Vappingo: KDP Print Royalties</t>
        </is>
      </c>
      <c r="C9" s="76" t="inlineStr">
        <is>
          <t>https://www.vappingo.com/word-blog/kdp-print-royalties/</t>
        </is>
      </c>
    </row>
    <row r="10" ht="15" customHeight="1" s="40">
      <c r="A10" s="55" t="inlineStr">
        <is>
          <t>KDP Expanded Distribution</t>
        </is>
      </c>
      <c r="B10" s="55" t="inlineStr">
        <is>
          <t>BestWriting: KDP Royalties Explained</t>
        </is>
      </c>
      <c r="C10" s="76" t="inlineStr">
        <is>
          <t>https://bestwriting.com/kdp-royalties</t>
        </is>
      </c>
    </row>
    <row r="11" ht="15" customHeight="1" s="40">
      <c r="A11" s="55" t="inlineStr">
        <is>
          <t>B&amp;N Press royalties and payouts</t>
        </is>
      </c>
      <c r="B11" s="55" t="inlineStr">
        <is>
          <t>B&amp;N Press Help Center: Getting Paid for Sales</t>
        </is>
      </c>
      <c r="C11" s="76" t="inlineStr">
        <is>
          <t>https://help-press.barnesandnoble.com/hc/en-us/articles/5359658688923-Getting-Paid-for-Sales</t>
        </is>
      </c>
    </row>
    <row r="12" ht="15" customHeight="1" s="40">
      <c r="A12" s="55" t="inlineStr">
        <is>
          <t>Lulu fee structure</t>
        </is>
      </c>
      <c r="B12" s="55" t="inlineStr">
        <is>
          <t>Chapter: Lulu Pricing</t>
        </is>
      </c>
      <c r="C12" s="76" t="inlineStr">
        <is>
          <t>https://blog.chapter.pub/lulu-pricing/</t>
        </is>
      </c>
    </row>
    <row r="13" ht="15" customHeight="1" s="40">
      <c r="A13" s="55" t="inlineStr">
        <is>
          <t>PublishDrive plans</t>
        </is>
      </c>
      <c r="B13" s="55" t="inlineStr">
        <is>
          <t>PublishDrive Help: Distribution Pricing Plans</t>
        </is>
      </c>
      <c r="C13" s="76" t="inlineStr">
        <is>
          <t>https://help.publishdrive.com/how-much-publishdrives-distribution-pricing-plans</t>
        </is>
      </c>
    </row>
    <row r="14" ht="15" customHeight="1" s="40">
      <c r="A14" s="55" t="inlineStr">
        <is>
          <t>PublishDrive vs IngramSpark</t>
        </is>
      </c>
      <c r="B14" s="55" t="inlineStr">
        <is>
          <t>PublishDrive comparison (July 2026)</t>
        </is>
      </c>
      <c r="C14" s="76" t="inlineStr">
        <is>
          <t>https://publishdrive.com/publishdrive-vs-ingramspark-2026-pricing-royalties-distribution-and-features-compared.html</t>
        </is>
      </c>
    </row>
    <row r="15" ht="15" customHeight="1" s="40">
      <c r="A15" s="55" t="inlineStr">
        <is>
          <t>Draft2Digital fees</t>
        </is>
      </c>
      <c r="B15" s="55" t="inlineStr">
        <is>
          <t>PublishDrive vs Draft2Digital (April 2026)</t>
        </is>
      </c>
      <c r="C15" s="76" t="inlineStr">
        <is>
          <t>https://publishdrive.com/comparison-guide-publishdrive-vs-draft2digital.html</t>
        </is>
      </c>
    </row>
    <row r="16" ht="15" customHeight="1" s="40">
      <c r="A16" s="55" t="inlineStr">
        <is>
          <t>Ebook store payout rates</t>
        </is>
      </c>
      <c r="B16" s="55" t="inlineStr">
        <is>
          <t>ScribeCount: Platform Comparison</t>
        </is>
      </c>
      <c r="C16" s="76" t="inlineStr">
        <is>
          <t>https://scribecount.com/tools/platform-comparison</t>
        </is>
      </c>
    </row>
    <row r="17" ht="15" customHeight="1" s="40">
      <c r="A17" s="42" t="n"/>
      <c r="B17" s="42" t="n"/>
      <c r="C17" s="42" t="n"/>
    </row>
    <row r="18" ht="15" customHeight="1" s="40">
      <c r="A18" s="43" t="inlineStr">
        <is>
          <t>Fees change often. Figures are as of October 11, 2026 and are refreshed quarterly. Not legal or financial advice.</t>
        </is>
      </c>
      <c r="B18" s="42" t="n"/>
      <c r="C18" s="42" t="n"/>
    </row>
  </sheetData>
  <hyperlinks>
    <hyperlink xmlns:r="http://schemas.openxmlformats.org/officeDocument/2006/relationships" ref="C4" display="https://help.ingramspark.com/hc/en-us/articles/41657495062029-Changes-in-Print-Cost-Market-Access-Fee-and-More" r:id="rId1"/>
    <hyperlink xmlns:r="http://schemas.openxmlformats.org/officeDocument/2006/relationships" ref="C5" display="https://www.ingramspark.com/" r:id="rId2"/>
    <hyperlink xmlns:r="http://schemas.openxmlformats.org/officeDocument/2006/relationships" ref="C6" display="https://scribecount.com/author-resource/publishing-a-book/How-to-Publish-on-IngramSpark" r:id="rId3"/>
    <hyperlink xmlns:r="http://schemas.openxmlformats.org/officeDocument/2006/relationships" ref="C7" display="https://danieljtortora.com/blog/self-publishing-royalties" r:id="rId4"/>
    <hyperlink xmlns:r="http://schemas.openxmlformats.org/officeDocument/2006/relationships" ref="C8" display="https://profitable.app/tools/kdp-royalty-calculator" r:id="rId5"/>
    <hyperlink xmlns:r="http://schemas.openxmlformats.org/officeDocument/2006/relationships" ref="C9" display="https://www.vappingo.com/word-blog/kdp-print-royalties/" r:id="rId6"/>
    <hyperlink xmlns:r="http://schemas.openxmlformats.org/officeDocument/2006/relationships" ref="C10" display="https://bestwriting.com/kdp-royalties" r:id="rId7"/>
    <hyperlink xmlns:r="http://schemas.openxmlformats.org/officeDocument/2006/relationships" ref="C11" display="https://help-press.barnesandnoble.com/hc/en-us/articles/5359658688923-Getting-Paid-for-Sales" r:id="rId8"/>
    <hyperlink xmlns:r="http://schemas.openxmlformats.org/officeDocument/2006/relationships" ref="C12" display="https://blog.chapter.pub/lulu-pricing/" r:id="rId9"/>
    <hyperlink xmlns:r="http://schemas.openxmlformats.org/officeDocument/2006/relationships" ref="C13" display="https://help.publishdrive.com/how-much-publishdrives-distribution-pricing-plans" r:id="rId10"/>
    <hyperlink xmlns:r="http://schemas.openxmlformats.org/officeDocument/2006/relationships" ref="C14" display="https://publishdrive.com/publishdrive-vs-ingramspark-2026-pricing-royalties-distribution-and-features-compared.html" r:id="rId11"/>
    <hyperlink xmlns:r="http://schemas.openxmlformats.org/officeDocument/2006/relationships" ref="C15" display="https://publishdrive.com/comparison-guide-publishdrive-vs-draft2digital.html" r:id="rId12"/>
    <hyperlink xmlns:r="http://schemas.openxmlformats.org/officeDocument/2006/relationships" ref="C16" display="https://scribecount.com/tools/platform-comparison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2026-10-12T03:28:37Z</dcterms:created>
  <dcterms:modified xmlns:dcterms="http://purl.org/dc/terms/" xmlns:xsi="http://www.w3.org/2001/XMLSchema-instance" xsi:type="dcterms:W3CDTF">2026-10-12T07:12:38Z</dcterms:modified>
  <cp:revision>3</cp:revision>
</cp:coreProperties>
</file>