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int Unit Econ" sheetId="3" state="visible" r:id="rId5"/>
    <sheet name="Ebook Unit Econ" sheetId="4" state="visible" r:id="rId6"/>
    <sheet name="Fixed Costs" sheetId="5" state="visible" r:id="rId7"/>
    <sheet name="Monthly Scenario" sheetId="6" state="visible" r:id="rId8"/>
    <sheet name="Volume 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<sst xmlns="http://schemas.openxmlformats.org/spreadsheetml/2006/main" count="338" uniqueCount="254">
  <si>
    <t xml:space="preserve">IP Distribution Decision Verticals: Cost Variance Model</t>
  </si>
  <si>
    <t xml:space="preserve">Edit inputs on the Assumptions sheet. Everything on this page recalculates.</t>
  </si>
  <si>
    <t xml:space="preserve">Prices, fees and rates as of October 11, 2026. Refreshed quarterly; next refresh January 11, 2027.</t>
  </si>
  <si>
    <t xml:space="preserve">Platform</t>
  </si>
  <si>
    <t xml:space="preserve">Print net / unit</t>
  </si>
  <si>
    <t xml:space="preserve">Print variance vs baseline</t>
  </si>
  <si>
    <t xml:space="preserve">Ebook net / unit</t>
  </si>
  <si>
    <t xml:space="preserve">Ebook variance vs baseline</t>
  </si>
  <si>
    <t xml:space="preserve">Year-1 fixed costs</t>
  </si>
  <si>
    <t xml:space="preserve">Year-1 net after fixed costs</t>
  </si>
  <si>
    <t xml:space="preserve">Year-1 variance vs baseline</t>
  </si>
  <si>
    <t xml:space="preserve">Rank</t>
  </si>
  <si>
    <t xml:space="preserve">Amazon KDP</t>
  </si>
  <si>
    <t xml:space="preserve">IngramSpark</t>
  </si>
  <si>
    <t xml:space="preserve">B&amp;N Press</t>
  </si>
  <si>
    <t xml:space="preserve">Lulu</t>
  </si>
  <si>
    <t xml:space="preserve">PublishDrive</t>
  </si>
  <si>
    <t xml:space="preserve">Draft2Digital</t>
  </si>
  <si>
    <t xml:space="preserve">n/a</t>
  </si>
  <si>
    <t xml:space="preserve">Key takeaways (at default assumptions)</t>
  </si>
  <si>
    <t xml:space="preserve">1. KDP pays the most per print copy on Amazon because Amazon takes 40% versus the 55% bookstore discount used for IngramSpark and PublishDrive.</t>
  </si>
  <si>
    <t xml:space="preserve">2. The channel share (retailer discount) is the largest variance driver for print, larger than print cost or platform fees. See the driver columns on Print Unit Econ.</t>
  </si>
  <si>
    <t xml:space="preserve">3. For ebooks, direct uploads (KDP, Apple, B&amp;N) beat aggregators; aggregators trade a 10 to 15% cut for one-upload reach.</t>
  </si>
  <si>
    <t xml:space="preserve">4. PublishDrive only beats IngramSpark or Draft2Digital above the break-even volume on the Volume Sensitivity sheet; below it, the subscription costs more than it saves.</t>
  </si>
  <si>
    <t xml:space="preserve">5. Lulu retail distribution is the weakest per-unit option; Lulu only wins on sales through its own bookstore or your site.</t>
  </si>
  <si>
    <t xml:space="preserve">6. Yellow cells on Assumptions are estimates. Replace them with each platform's calculator output before making a decision.</t>
  </si>
  <si>
    <t xml:space="preserve">IP Distribution Decision Verticals: Assumptions</t>
  </si>
  <si>
    <t xml:space="preserve">Legend: blue text = input you can edit; yellow fill = key assumption to replace with your own calculator results; black = formula.</t>
  </si>
  <si>
    <t xml:space="preserve">Assumption</t>
  </si>
  <si>
    <t xml:space="preserve">Value</t>
  </si>
  <si>
    <t xml:space="preserve">Unit</t>
  </si>
  <si>
    <t xml:space="preserve">Notes / Source</t>
  </si>
  <si>
    <t xml:space="preserve">Book inputs</t>
  </si>
  <si>
    <t xml:space="preserve">Paperback list price</t>
  </si>
  <si>
    <t xml:space="preserve">USD</t>
  </si>
  <si>
    <t xml:space="preserve">Example value. Replace with your planned price.</t>
  </si>
  <si>
    <t xml:space="preserve">Paperback page count</t>
  </si>
  <si>
    <t xml:space="preserve">pages</t>
  </si>
  <si>
    <t xml:space="preserve">Example: 6x9 black-and-white interior.</t>
  </si>
  <si>
    <t xml:space="preserve">Ebook list price</t>
  </si>
  <si>
    <t xml:space="preserve">Example value.</t>
  </si>
  <si>
    <t xml:space="preserve">Ebook file size</t>
  </si>
  <si>
    <t xml:space="preserve">MB</t>
  </si>
  <si>
    <t xml:space="preserve">Text-only ebooks are usually under 2 MB. Drives KDP delivery fee.</t>
  </si>
  <si>
    <t xml:space="preserve">Print units sold per month (per platform)</t>
  </si>
  <si>
    <t xml:space="preserve">units</t>
  </si>
  <si>
    <t xml:space="preserve">Scenario lever used on the Monthly Scenario sheet.</t>
  </si>
  <si>
    <t xml:space="preserve">Ebook units sold per month (per platform)</t>
  </si>
  <si>
    <t xml:space="preserve">Baseline for variance</t>
  </si>
  <si>
    <t xml:space="preserve">Print baseline platform</t>
  </si>
  <si>
    <t xml:space="preserve">text</t>
  </si>
  <si>
    <t xml:space="preserve">Every print variance is measured against this row. Pick from the dropdown.</t>
  </si>
  <si>
    <t xml:space="preserve">Ebook baseline platform</t>
  </si>
  <si>
    <t xml:space="preserve">Every ebook variance is measured against this row. Pick from the dropdown.</t>
  </si>
  <si>
    <t xml:space="preserve">Combined baseline platform</t>
  </si>
  <si>
    <t xml:space="preserve">Baseline for the Monthly Scenario sheet.</t>
  </si>
  <si>
    <t xml:space="preserve">KDP print royalty rate (Amazon.com sales)</t>
  </si>
  <si>
    <t xml:space="preserve">%</t>
  </si>
  <si>
    <t xml:space="preserve">60% of list minus printing cost. Source: Vappingo, KDP Print Royalties.</t>
  </si>
  <si>
    <t xml:space="preserve">KDP Expanded Distribution royalty rate</t>
  </si>
  <si>
    <t xml:space="preserve">40% of list minus printing cost. Source: BestWriting, KDP Royalties Explained.</t>
  </si>
  <si>
    <t xml:space="preserve">KDP flat print cost (24 to 108 pages)</t>
  </si>
  <si>
    <t xml:space="preserve">Source: Profitable.app KDP calculator (2026). Some sources list $2.15.</t>
  </si>
  <si>
    <t xml:space="preserve">KDP fixed print cost (110+ pages)</t>
  </si>
  <si>
    <t xml:space="preserve">Source: Profitable.app (2026). Some sources list $0.85; verify in KDP's calculator.</t>
  </si>
  <si>
    <t xml:space="preserve">KDP per-page print cost (B&amp;W)</t>
  </si>
  <si>
    <t xml:space="preserve">USD/page</t>
  </si>
  <si>
    <t xml:space="preserve">Source: Profitable.app; BestWriting.</t>
  </si>
  <si>
    <t xml:space="preserve">KDP ebook royalty, $2.99 to $9.99</t>
  </si>
  <si>
    <t xml:space="preserve">Source: Daniel Tortora royalty guide (2026).</t>
  </si>
  <si>
    <t xml:space="preserve">KDP ebook royalty outside that band</t>
  </si>
  <si>
    <t xml:space="preserve">No delivery fee on the 35% tier.</t>
  </si>
  <si>
    <t xml:space="preserve">KDP delivery fee (70% tier)</t>
  </si>
  <si>
    <t xml:space="preserve">USD/MB</t>
  </si>
  <si>
    <t xml:space="preserve">US store. Source: Reedsy; Profitable.app.</t>
  </si>
  <si>
    <t xml:space="preserve">IngramSpark wholesale discount</t>
  </si>
  <si>
    <t xml:space="preserve">55% is standard for bookstore stocking; 35 to 40% is common for online-only. Source: Tortora.</t>
  </si>
  <si>
    <t xml:space="preserve">IngramSpark market access fee</t>
  </si>
  <si>
    <t xml:space="preserve">% of list</t>
  </si>
  <si>
    <t xml:space="preserve">Effective Feb 1, 2026. Source: IngramSpark Help Center.</t>
  </si>
  <si>
    <t xml:space="preserve">Ingram print cost per unit (estimate)</t>
  </si>
  <si>
    <t xml:space="preserve">ESTIMATE. Replace with IngramSpark print cost calculator result. Also used for PublishDrive (prints via Ingram).</t>
  </si>
  <si>
    <t xml:space="preserve">IngramSpark digital distribution fee</t>
  </si>
  <si>
    <t xml:space="preserve">% of net sales</t>
  </si>
  <si>
    <t xml:space="preserve">Sec. 8.1.3 of the IngramSpark Agreement you pasted.</t>
  </si>
  <si>
    <t xml:space="preserve">Barnes &amp; Noble Press</t>
  </si>
  <si>
    <t xml:space="preserve">B&amp;N Press print royalty rate</t>
  </si>
  <si>
    <t xml:space="preserve">55% of list minus per-book printing cost. Source: B&amp;N Press Help Center.</t>
  </si>
  <si>
    <t xml:space="preserve">B&amp;N Press print cost per unit (estimate)</t>
  </si>
  <si>
    <t xml:space="preserve">ESTIMATE. B&amp;N does not publish a formula; check its calculator during setup.</t>
  </si>
  <si>
    <t xml:space="preserve">B&amp;N Press ebook royalty</t>
  </si>
  <si>
    <t xml:space="preserve">Flat 70% for ebooks priced $0.99 and up. Source: B&amp;N Press Help Center.</t>
  </si>
  <si>
    <t xml:space="preserve">Lulu print cost per unit (estimate)</t>
  </si>
  <si>
    <t xml:space="preserve">ESTIMATE. Replace with Lulu pricing calculator result.</t>
  </si>
  <si>
    <t xml:space="preserve">Lulu retail distribution fee</t>
  </si>
  <si>
    <t xml:space="preserve">50% of gross revenue on retail channels; none on Lulu Bookstore. Source: Chapter, Lulu Pricing (Sep 2026).</t>
  </si>
  <si>
    <t xml:space="preserve">Lulu commission</t>
  </si>
  <si>
    <t xml:space="preserve">% of gross profit</t>
  </si>
  <si>
    <t xml:space="preserve">Lulu keeps 20% of what remains after fees and print. Source: Chapter, Lulu Pricing.</t>
  </si>
  <si>
    <t xml:space="preserve">Ebook stores and aggregators</t>
  </si>
  <si>
    <t xml:space="preserve">Apple / Kobo / Google payout rate to publisher</t>
  </si>
  <si>
    <t xml:space="preserve">Source: ScribeCount platform comparison.</t>
  </si>
  <si>
    <t xml:space="preserve">Draft2Digital share of store payout</t>
  </si>
  <si>
    <t xml:space="preserve">D2D keeps about 10%, you net about 90% of the store payout. Source: Books.by; Publishing.co.uk.</t>
  </si>
  <si>
    <t xml:space="preserve">Fixed and recurring costs</t>
  </si>
  <si>
    <t xml:space="preserve">ISBN cost per title (if you supply your own)</t>
  </si>
  <si>
    <t xml:space="preserve">Single ISBN price. A block of 10 is $295 ($29.50 each). Source: ScribeCount.</t>
  </si>
  <si>
    <t xml:space="preserve">Draft2Digital account fee (new accounts)</t>
  </si>
  <si>
    <t xml:space="preserve">One-time, introduced April 2026. Source: PublishDrive vs D2D comparison (Apr 2026).</t>
  </si>
  <si>
    <t xml:space="preserve">Lulu proof copy incl. shipping (estimate)</t>
  </si>
  <si>
    <t xml:space="preserve">ESTIMATE. A proof is required before Lulu print distribution.</t>
  </si>
  <si>
    <t xml:space="preserve">PublishDrive monthly subscription</t>
  </si>
  <si>
    <t xml:space="preserve">USD/mo</t>
  </si>
  <si>
    <t xml:space="preserve">Lowest paid plan. A free plan covers 1 title. Source: PublishDrive (2026).</t>
  </si>
  <si>
    <t xml:space="preserve">Print Book: Per-Unit Royalty and Variance vs Baseline</t>
  </si>
  <si>
    <t xml:space="preserve">Where it sells</t>
  </si>
  <si>
    <t xml:space="preserve">List price</t>
  </si>
  <si>
    <t xml:space="preserve">Retailer / channel share</t>
  </si>
  <si>
    <t xml:space="preserve">Print cost</t>
  </si>
  <si>
    <t xml:space="preserve">Platform fees</t>
  </si>
  <si>
    <t xml:space="preserve">Net royalty per unit</t>
  </si>
  <si>
    <t xml:space="preserve">Net % of list</t>
  </si>
  <si>
    <t xml:space="preserve">Variance vs baseline ($)</t>
  </si>
  <si>
    <t xml:space="preserve">Variance vs baseline (%)</t>
  </si>
  <si>
    <t xml:space="preserve">Driver: channel share</t>
  </si>
  <si>
    <t xml:space="preserve">Driver: print cost</t>
  </si>
  <si>
    <t xml:space="preserve">Driver: platform fees</t>
  </si>
  <si>
    <t xml:space="preserve">Amazon.com only</t>
  </si>
  <si>
    <t xml:space="preserve">KDP Expanded Distribution</t>
  </si>
  <si>
    <t xml:space="preserve">Other retailers via KDP</t>
  </si>
  <si>
    <t xml:space="preserve">Bookstores, libraries, online retail</t>
  </si>
  <si>
    <t xml:space="preserve">BN.com (U.S. only)</t>
  </si>
  <si>
    <t xml:space="preserve">Lulu Bookstore</t>
  </si>
  <si>
    <t xml:space="preserve">Lulu.com store only</t>
  </si>
  <si>
    <t xml:space="preserve">Lulu (Retail)</t>
  </si>
  <si>
    <t xml:space="preserve">Amazon, B&amp;N, others via Lulu</t>
  </si>
  <si>
    <t xml:space="preserve">Bookstores and retail via Ingram</t>
  </si>
  <si>
    <t xml:space="preserve">How to read this sheet:</t>
  </si>
  <si>
    <t xml:space="preserve">Net royalty per unit = List price - Retailer/channel share - Print cost - Platform fees.</t>
  </si>
  <si>
    <t xml:space="preserve">Variance vs baseline = this platform's net minus the baseline's net. The three driver columns split that variance by cause and add up to it exactly.</t>
  </si>
  <si>
    <t xml:space="preserve">Positive driver = this platform costs you less than the baseline on that line. Negative = it costs you more.</t>
  </si>
  <si>
    <t xml:space="preserve">PublishDrive's monthly subscription is a fixed cost, so it appears on the Monthly Scenario sheet rather than here.</t>
  </si>
  <si>
    <t xml:space="preserve">Print costs for IngramSpark, PublishDrive, B&amp;N Press and Lulu are estimates on the Assumptions sheet. Replace them with each platform's calculator output.</t>
  </si>
  <si>
    <t xml:space="preserve">Ebook: Per-Unit Royalty and Variance vs Baseline</t>
  </si>
  <si>
    <t xml:space="preserve">Sold through</t>
  </si>
  <si>
    <t xml:space="preserve">Store cut</t>
  </si>
  <si>
    <t xml:space="preserve">Delivery fee</t>
  </si>
  <si>
    <t xml:space="preserve">Aggregator / platform fee</t>
  </si>
  <si>
    <t xml:space="preserve">Driver: store cut</t>
  </si>
  <si>
    <t xml:space="preserve">Driver: delivery fee</t>
  </si>
  <si>
    <t xml:space="preserve">Driver: aggregator fee</t>
  </si>
  <si>
    <t xml:space="preserve">Amazon Kindle</t>
  </si>
  <si>
    <t xml:space="preserve">Apple Books (direct)</t>
  </si>
  <si>
    <t xml:space="preserve">Apple Books</t>
  </si>
  <si>
    <t xml:space="preserve">BN.com / Nook</t>
  </si>
  <si>
    <t xml:space="preserve">Draft2Digital (via Apple)</t>
  </si>
  <si>
    <t xml:space="preserve">Apple, Kobo, Google, libraries</t>
  </si>
  <si>
    <t xml:space="preserve">IngramSpark (via Apple)</t>
  </si>
  <si>
    <t xml:space="preserve">Ingram ebook network</t>
  </si>
  <si>
    <t xml:space="preserve">PublishDrive (via Apple)</t>
  </si>
  <si>
    <t xml:space="preserve">400+ stores</t>
  </si>
  <si>
    <t xml:space="preserve">Retailers via Lulu</t>
  </si>
  <si>
    <t xml:space="preserve">Notes:</t>
  </si>
  <si>
    <t xml:space="preserve">KDP pays 70% only between $2.99 and $9.99 and charges a per-MB delivery fee on that tier; outside the band it pays 35% with no delivery fee. The formula switches automatically.</t>
  </si>
  <si>
    <t xml:space="preserve">Aggregator rows assume the sale happens on Apple Books (70% store payout). Kobo and Google pay similar rates.</t>
  </si>
  <si>
    <t xml:space="preserve">Lulu ebook economics are an estimate based on its published retail distribution fee and commission.</t>
  </si>
  <si>
    <t xml:space="preserve">PublishDrive keeps 0% of royalties but charges a monthly subscription, which is applied on the Monthly Scenario sheet.</t>
  </si>
  <si>
    <t xml:space="preserve">Fixed and Recurring Costs per Title (Year 1)</t>
  </si>
  <si>
    <t xml:space="preserve">Blue cells are inputs. ISBN, account, proof, and subscription values link to the Assumptions sheet.</t>
  </si>
  <si>
    <t xml:space="preserve">Title setup fee</t>
  </si>
  <si>
    <t xml:space="preserve">Revision fees</t>
  </si>
  <si>
    <t xml:space="preserve">ISBN cost</t>
  </si>
  <si>
    <t xml:space="preserve">Account fee</t>
  </si>
  <si>
    <t xml:space="preserve">Proof copy</t>
  </si>
  <si>
    <t xml:space="preserve">One-time total</t>
  </si>
  <si>
    <t xml:space="preserve">Monthly subscription</t>
  </si>
  <si>
    <t xml:space="preserve">Annual subscription</t>
  </si>
  <si>
    <t xml:space="preserve">Year-1 fixed total</t>
  </si>
  <si>
    <t xml:space="preserve">Notes</t>
  </si>
  <si>
    <t xml:space="preserve">Free setup, free revisions, free ISBN for print. Ebooks do not need an ISBN.</t>
  </si>
  <si>
    <t xml:space="preserve">Setup free; revisions free since Feb 2026. U.S. publishers supply their own ISBN.</t>
  </si>
  <si>
    <t xml:space="preserve">Free ISBN (D2D listed as publisher). $20 account fee for new accounts since April 2026.</t>
  </si>
  <si>
    <t xml:space="preserve">Free ISBN covers print only; an ebook needs your own ISBN.</t>
  </si>
  <si>
    <t xml:space="preserve">Free to publish. Proof copy required before print distribution.</t>
  </si>
  <si>
    <t xml:space="preserve">0% commission; paid plans from $13.99/mo. Free plan covers 1 title (set subscription to 0 to model it).</t>
  </si>
  <si>
    <t xml:space="preserve">Monthly and Year-1 Earnings at Assumed Volume</t>
  </si>
  <si>
    <t xml:space="preserve">Print row used</t>
  </si>
  <si>
    <t xml:space="preserve">Ebook row used</t>
  </si>
  <si>
    <t xml:space="preserve">Print units / mo</t>
  </si>
  <si>
    <t xml:space="preserve">Ebook units / mo</t>
  </si>
  <si>
    <t xml:space="preserve">Monthly royalties</t>
  </si>
  <si>
    <t xml:space="preserve">Monthly net</t>
  </si>
  <si>
    <t xml:space="preserve">Year-1 net (12 mo)</t>
  </si>
  <si>
    <t xml:space="preserve">Year-1 one-time costs</t>
  </si>
  <si>
    <t xml:space="preserve">Variance vs baseline (Year 1)</t>
  </si>
  <si>
    <t xml:space="preserve">(not modeled)</t>
  </si>
  <si>
    <t xml:space="preserve">Each row assumes the same unit volume on every platform so the per-sale economics can be compared directly. In practice, reach differs: KDP covers Amazon only, while IngramSpark and PublishDrive reach bookstores and libraries.</t>
  </si>
  <si>
    <t xml:space="preserve">Draft2Digital print (D2D Print) is not modeled because current per-unit print terms were not available; the row shows ebook earnings only.</t>
  </si>
  <si>
    <t xml:space="preserve">You can change which unit-economics row each platform uses in columns B and C (the names must match exactly).</t>
  </si>
  <si>
    <t xml:space="preserve">Monthly Net by Volume (equal print and ebook units)</t>
  </si>
  <si>
    <t xml:space="preserve">Blue volume levels in row 4 are editable. Monthly net = units x (print net + ebook net) - monthly subscription.</t>
  </si>
  <si>
    <t xml:space="preserve">10 units/mo</t>
  </si>
  <si>
    <t xml:space="preserve">25 units/mo</t>
  </si>
  <si>
    <t xml:space="preserve">50 units/mo</t>
  </si>
  <si>
    <t xml:space="preserve">100 units/mo</t>
  </si>
  <si>
    <t xml:space="preserve">250 units/mo</t>
  </si>
  <si>
    <t xml:space="preserve">500 units/mo</t>
  </si>
  <si>
    <t xml:space="preserve">Units per format / month</t>
  </si>
  <si>
    <t xml:space="preserve">Break-even analysis</t>
  </si>
  <si>
    <t xml:space="preserve">PublishDrive vs IngramSpark: units/mo (each format) where PublishDrive pulls ahead</t>
  </si>
  <si>
    <t xml:space="preserve">PublishDrive vs Draft2Digital (ebook only): ebook units/mo where PublishDrive pulls ahead</t>
  </si>
  <si>
    <t xml:space="preserve">Sources</t>
  </si>
  <si>
    <t xml:space="preserve">Topic</t>
  </si>
  <si>
    <t xml:space="preserve">Source</t>
  </si>
  <si>
    <t xml:space="preserve">URL</t>
  </si>
  <si>
    <t xml:space="preserve">IngramSpark 2026 fees</t>
  </si>
  <si>
    <t xml:space="preserve">IngramSpark Help Center: Changes in Print Cost, Market Access Fee and More</t>
  </si>
  <si>
    <t xml:space="preserve">https://help.ingramspark.com/hc/en-us/articles/41657495062029-Changes-in-Print-Cost-Market-Access-Fee-and-More</t>
  </si>
  <si>
    <t xml:space="preserve">IngramSpark digital fee, payment terms</t>
  </si>
  <si>
    <t xml:space="preserve">IngramSpark Agreement (pasted by user), Sec. 8 and 9</t>
  </si>
  <si>
    <t xml:space="preserve">https://www.ingramspark.com/</t>
  </si>
  <si>
    <t xml:space="preserve">IngramSpark fees, ISBN prices</t>
  </si>
  <si>
    <t xml:space="preserve">ScribeCount: How to Publish on IngramSpark</t>
  </si>
  <si>
    <t xml:space="preserve">https://scribecount.com/author-resource/publishing-a-book/How-to-Publish-on-IngramSpark</t>
  </si>
  <si>
    <t xml:space="preserve">Royalty formulas across platforms</t>
  </si>
  <si>
    <t xml:space="preserve">Daniel Tortora: Self-Publishing Royalties 2026</t>
  </si>
  <si>
    <t xml:space="preserve">https://danieljtortora.com/blog/self-publishing-royalties</t>
  </si>
  <si>
    <t xml:space="preserve">KDP print costs and delivery fee</t>
  </si>
  <si>
    <t xml:space="preserve">Profitable.app: KDP Royalty Calculator</t>
  </si>
  <si>
    <t xml:space="preserve">https://profitable.app/tools/kdp-royalty-calculator</t>
  </si>
  <si>
    <t xml:space="preserve">KDP print royalties</t>
  </si>
  <si>
    <t xml:space="preserve">Vappingo: KDP Print Royalties</t>
  </si>
  <si>
    <t xml:space="preserve">https://www.vappingo.com/word-blog/kdp-print-royalties/</t>
  </si>
  <si>
    <t xml:space="preserve">BestWriting: KDP Royalties Explained</t>
  </si>
  <si>
    <t xml:space="preserve">https://bestwriting.com/kdp-royalties</t>
  </si>
  <si>
    <t xml:space="preserve">B&amp;N Press royalties and payouts</t>
  </si>
  <si>
    <t xml:space="preserve">B&amp;N Press Help Center: Getting Paid for Sales</t>
  </si>
  <si>
    <t xml:space="preserve">https://help-press.barnesandnoble.com/hc/en-us/articles/5359658688923-Getting-Paid-for-Sales</t>
  </si>
  <si>
    <t xml:space="preserve">Lulu fee structure</t>
  </si>
  <si>
    <t xml:space="preserve">Chapter: Lulu Pricing</t>
  </si>
  <si>
    <t xml:space="preserve">https://blog.chapter.pub/lulu-pricing/</t>
  </si>
  <si>
    <t xml:space="preserve">PublishDrive plans</t>
  </si>
  <si>
    <t xml:space="preserve">PublishDrive Help: Distribution Pricing Plans</t>
  </si>
  <si>
    <t xml:space="preserve">https://help.publishdrive.com/how-much-publishdrives-distribution-pricing-plans</t>
  </si>
  <si>
    <t xml:space="preserve">PublishDrive vs IngramSpark</t>
  </si>
  <si>
    <t xml:space="preserve">PublishDrive comparison (July 2026)</t>
  </si>
  <si>
    <t xml:space="preserve">https://publishdrive.com/publishdrive-vs-ingramspark-2026-pricing-royalties-distribution-and-features-compared.html</t>
  </si>
  <si>
    <t xml:space="preserve">Draft2Digital fees</t>
  </si>
  <si>
    <t xml:space="preserve">PublishDrive vs Draft2Digital (April 2026)</t>
  </si>
  <si>
    <t xml:space="preserve">https://publishdrive.com/comparison-guide-publishdrive-vs-draft2digital.html</t>
  </si>
  <si>
    <t xml:space="preserve">Ebook store payout rates</t>
  </si>
  <si>
    <t xml:space="preserve">ScribeCount: Platform Comparison</t>
  </si>
  <si>
    <t xml:space="preserve">https://scribecount.com/tools/platform-comparison</t>
  </si>
  <si>
    <t xml:space="preserve">Fees change often. Figures are as of October 11, 2026 and are refreshed quarterly. Not legal or financial advice.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</si>
</sst>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0"/>
    <numFmt numFmtId="167" formatCode="\$#,##0.00"/>
    <numFmt numFmtId="168" formatCode="0.0%"/>
    <numFmt numFmtId="169" formatCode="0.000%"/>
    <numFmt numFmtId="170" formatCode="\$#,##0"/>
    <numFmt numFmtId="171" formatCode="0.0%;\(0.0%\);\-"/>
    <numFmt numFmtId="172" formatCode="General"/>
    <numFmt numFmtId="173" formatCode="\$#,##0;&quot;($&quot;#,##0\);\-"/>
    <numFmt numFmtId="174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Year-1 net after fixed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Summary!G5</c:f>
              <c:strCache>
                <c:ptCount val="1"/>
                <c:pt idx="0">
                  <c:v>Year-1 net after fixed costs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Summary!$A$6:$A$11</c:f>
              <c:strCache>
                <c:ptCount val="6"/>
                <c:pt idx="0">
                  <c:v>Amazon KDP</c:v>
                </c:pt>
                <c:pt idx="1">
                  <c:v>IngramSpark</c:v>
                </c:pt>
                <c:pt idx="2">
                  <c:v>B&amp;N Press</c:v>
                </c:pt>
                <c:pt idx="3">
                  <c:v>Lulu</c:v>
                </c:pt>
                <c:pt idx="4">
                  <c:v>PublishDrive</c:v>
                </c:pt>
                <c:pt idx="5">
                  <c:v>Draft2Digital</c:v>
                </c:pt>
              </c:strCache>
            </c:strRef>
          </c:cat>
          <c:val>
            <c:numRef>
              <c:f>Summary!$G$6:$G$11</c:f>
              <c:numCache>
                <c:formatCode>\$#,##0.00;"($"#,##0.00\);\-</c:formatCode>
                <c:ptCount val="6"/>
                <c:pt idx="0">
                  <c:v>6046.2</c:v>
                </c:pt>
                <c:pt idx="1">
                  <c:v>3652.5925</c:v>
                </c:pt>
                <c:pt idx="2">
                  <c:v>5477.5</c:v>
                </c:pt>
                <c:pt idx="3">
                  <c:v>2863.2</c:v>
                </c:pt>
                <c:pt idx="4">
                  <c:v>3990.22</c:v>
                </c:pt>
                <c:pt idx="5">
                  <c:v>1866.22</c:v>
                </c:pt>
              </c:numCache>
            </c:numRef>
          </c:val>
        </c:ser>
        <c:gapWidth val="150"/>
        <c:overlap val="0"/>
        <c:axId val="53472724"/>
        <c:axId val="53561847"/>
      </c:barChart>
      <c:catAx>
        <c:axId val="534727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61847"/>
        <c:crosses val="autoZero"/>
        <c:auto val="1"/>
        <c:lblAlgn val="ctr"/>
        <c:lblOffset val="100"/>
        <c:noMultiLvlLbl val="0"/>
      </c:catAx>
      <c:valAx>
        <c:axId val="53561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727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royalty per print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'Print Unit Econ'!G4</c:f>
              <c:strCache>
                <c:ptCount val="1"/>
                <c:pt idx="0">
                  <c:v>Net royalty per unit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'Print Unit Econ'!$A$5:$A$11</c:f>
              <c:strCache>
                <c:ptCount val="7"/>
                <c:pt idx="0">
                  <c:v>Amazon KDP</c:v>
                </c:pt>
                <c:pt idx="1">
                  <c:v>KDP Expanded Distribution</c:v>
                </c:pt>
                <c:pt idx="2">
                  <c:v>IngramSpark</c:v>
                </c:pt>
                <c:pt idx="3">
                  <c:v>B&amp;N Press</c:v>
                </c:pt>
                <c:pt idx="4">
                  <c:v>Lulu Bookstore</c:v>
                </c:pt>
                <c:pt idx="5">
                  <c:v>Lulu (Retail)</c:v>
                </c:pt>
                <c:pt idx="6">
                  <c:v>PublishDrive</c:v>
                </c:pt>
              </c:strCache>
            </c:strRef>
          </c:cat>
          <c:val>
            <c:numRef>
              <c:f>'Print Unit Econ'!$G$5:$G$11</c:f>
              <c:numCache>
                <c:formatCode>\$#,##0.00;"($"#,##0.00\);\-</c:formatCode>
                <c:ptCount val="7"/>
                <c:pt idx="0">
                  <c:v>6.794</c:v>
                </c:pt>
                <c:pt idx="1">
                  <c:v>3.396</c:v>
                </c:pt>
                <c:pt idx="2">
                  <c:v>3.3269375</c:v>
                </c:pt>
                <c:pt idx="3">
                  <c:v>5.8445</c:v>
                </c:pt>
                <c:pt idx="4">
                  <c:v>9.592</c:v>
                </c:pt>
                <c:pt idx="5">
                  <c:v>2.796</c:v>
                </c:pt>
                <c:pt idx="6">
                  <c:v>3.6455</c:v>
                </c:pt>
              </c:numCache>
            </c:numRef>
          </c:val>
        </c:ser>
        <c:gapWidth val="150"/>
        <c:overlap val="0"/>
        <c:axId val="14274948"/>
        <c:axId val="83975191"/>
      </c:barChart>
      <c:catAx>
        <c:axId val="142749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75191"/>
        <c:crosses val="autoZero"/>
        <c:auto val="1"/>
        <c:lblAlgn val="ctr"/>
        <c:lblOffset val="100"/>
        <c:noMultiLvlLbl val="0"/>
      </c:catAx>
      <c:valAx>
        <c:axId val="83975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749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royalty per ebook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'Ebook Unit Econ'!G4</c:f>
              <c:strCache>
                <c:ptCount val="1"/>
                <c:pt idx="0">
                  <c:v>Net royalty per unit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'Ebook Unit Econ'!$A$5:$A$11</c:f>
              <c:strCache>
                <c:ptCount val="7"/>
                <c:pt idx="0">
                  <c:v>Amazon KDP</c:v>
                </c:pt>
                <c:pt idx="1">
                  <c:v>Apple Books (direct)</c:v>
                </c:pt>
                <c:pt idx="2">
                  <c:v>B&amp;N Press</c:v>
                </c:pt>
                <c:pt idx="3">
                  <c:v>Draft2Digital (via Apple)</c:v>
                </c:pt>
                <c:pt idx="4">
                  <c:v>IngramSpark (via Apple)</c:v>
                </c:pt>
                <c:pt idx="5">
                  <c:v>PublishDrive (via Apple)</c:v>
                </c:pt>
                <c:pt idx="6">
                  <c:v>Lulu (Retail)</c:v>
                </c:pt>
              </c:strCache>
            </c:strRef>
          </c:cat>
          <c:val>
            <c:numRef>
              <c:f>'Ebook Unit Econ'!$G$5:$G$11</c:f>
              <c:numCache>
                <c:formatCode>\$#,##0.00;"($"#,##0.00\);\-</c:formatCode>
                <c:ptCount val="7"/>
                <c:pt idx="0">
                  <c:v>3.283</c:v>
                </c:pt>
                <c:pt idx="1">
                  <c:v>3.493</c:v>
                </c:pt>
                <c:pt idx="2">
                  <c:v>3.493</c:v>
                </c:pt>
                <c:pt idx="3">
                  <c:v>3.1437</c:v>
                </c:pt>
                <c:pt idx="4">
                  <c:v>2.96905</c:v>
                </c:pt>
                <c:pt idx="5">
                  <c:v>3.493</c:v>
                </c:pt>
                <c:pt idx="6">
                  <c:v>1.996</c:v>
                </c:pt>
              </c:numCache>
            </c:numRef>
          </c:val>
        </c:ser>
        <c:gapWidth val="150"/>
        <c:overlap val="0"/>
        <c:axId val="35356178"/>
        <c:axId val="58806989"/>
      </c:barChart>
      <c:catAx>
        <c:axId val="353561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06989"/>
        <c:crosses val="autoZero"/>
        <c:auto val="1"/>
        <c:lblAlgn val="ctr"/>
        <c:lblOffset val="100"/>
        <c:noMultiLvlLbl val="0"/>
      </c:catAx>
      <c:valAx>
        <c:axId val="58806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561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130680</xdr:rowOff>
    </xdr:from>
    <xdr:to>
      <xdr:col>6</xdr:col>
      <xdr:colOff>64800</xdr:colOff>
      <xdr:row>34</xdr:row>
      <xdr:rowOff>151920</xdr:rowOff>
    </xdr:to>
    <xdr:graphicFrame>
      <xdr:nvGraphicFramePr>
        <xdr:cNvPr id="0" name="Chart 1"/>
        <xdr:cNvGraphicFramePr/>
      </xdr:nvGraphicFramePr>
      <xdr:xfrm>
        <a:off x="0" y="5159880"/>
        <a:ext cx="64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160560</xdr:rowOff>
    </xdr:from>
    <xdr:to>
      <xdr:col>6</xdr:col>
      <xdr:colOff>261360</xdr:colOff>
      <xdr:row>33</xdr:row>
      <xdr:rowOff>182160</xdr:rowOff>
    </xdr:to>
    <xdr:graphicFrame>
      <xdr:nvGraphicFramePr>
        <xdr:cNvPr id="1" name="Chart 1"/>
        <xdr:cNvGraphicFramePr/>
      </xdr:nvGraphicFramePr>
      <xdr:xfrm>
        <a:off x="1832760" y="3827520"/>
        <a:ext cx="57589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160560</xdr:rowOff>
    </xdr:from>
    <xdr:to>
      <xdr:col>6</xdr:col>
      <xdr:colOff>542880</xdr:colOff>
      <xdr:row>32</xdr:row>
      <xdr:rowOff>182160</xdr:rowOff>
    </xdr:to>
    <xdr:graphicFrame>
      <xdr:nvGraphicFramePr>
        <xdr:cNvPr id="2" name="Chart 1"/>
        <xdr:cNvGraphicFramePr/>
      </xdr:nvGraphicFramePr>
      <xdr:xfrm>
        <a:off x="1973520" y="3637080"/>
        <a:ext cx="57589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help.ingramspark.com/hc/en-us/articles/41657495062029-Changes-in-Print-Cost-Market-Access-Fee-and-More" TargetMode="External"/><Relationship Id="rId2" Type="http://schemas.openxmlformats.org/officeDocument/2006/relationships/hyperlink" Target="https://www.ingramspark.com/" TargetMode="External"/><Relationship Id="rId3" Type="http://schemas.openxmlformats.org/officeDocument/2006/relationships/hyperlink" Target="https://scribecount.com/author-resource/publishing-a-book/How-to-Publish-on-IngramSpark" TargetMode="External"/><Relationship Id="rId4" Type="http://schemas.openxmlformats.org/officeDocument/2006/relationships/hyperlink" Target="https://danieljtortora.com/blog/self-publishing-royalties" TargetMode="External"/><Relationship Id="rId5" Type="http://schemas.openxmlformats.org/officeDocument/2006/relationships/hyperlink" Target="https://profitable.app/tools/kdp-royalty-calculator" TargetMode="External"/><Relationship Id="rId6" Type="http://schemas.openxmlformats.org/officeDocument/2006/relationships/hyperlink" Target="https://www.vappingo.com/word-blog/kdp-print-royalties/" TargetMode="External"/><Relationship Id="rId7" Type="http://schemas.openxmlformats.org/officeDocument/2006/relationships/hyperlink" Target="https://bestwriting.com/kdp-royalties" TargetMode="External"/><Relationship Id="rId8" Type="http://schemas.openxmlformats.org/officeDocument/2006/relationships/hyperlink" Target="https://help-press.barnesandnoble.com/hc/en-us/articles/5359658688923-Getting-Paid-for-Sales" TargetMode="External"/><Relationship Id="rId9" Type="http://schemas.openxmlformats.org/officeDocument/2006/relationships/hyperlink" Target="https://blog.chapter.pub/lulu-pricing/" TargetMode="External"/><Relationship Id="rId10" Type="http://schemas.openxmlformats.org/officeDocument/2006/relationships/hyperlink" Target="https://help.publishdrive.com/how-much-publishdrives-distribution-pricing-plans" TargetMode="External"/><Relationship Id="rId11" Type="http://schemas.openxmlformats.org/officeDocument/2006/relationships/hyperlink" Target="https://publishdrive.com/publishdrive-vs-ingramspark-2026-pricing-royalties-distribution-and-features-compared.html" TargetMode="External"/><Relationship Id="rId12" Type="http://schemas.openxmlformats.org/officeDocument/2006/relationships/hyperlink" Target="https://publishdrive.com/comparison-guide-publishdrive-vs-draft2digital.html" TargetMode="External"/><Relationship Id="rId13" Type="http://schemas.openxmlformats.org/officeDocument/2006/relationships/hyperlink" Target="https://scribecount.com/tools/platform-compari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8" min="7" style="1" width="16"/>
    <col collapsed="false" customWidth="true" hidden="false" outlineLevel="0" max="9" min="9" style="1" width="7"/>
  </cols>
  <sheetData>
    <row r="1" customFormat="false" ht="19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4" t="str">
        <f aca="false">"Paperback $"&amp;TEXT(Assumptions!$B$6,"0.00")&amp;", "&amp;Assumptions!$B$7&amp;" pages   |   Ebook $"&amp;TEXT(Assumptions!$B$8,"0.00")&amp;"   |   "&amp;Assumptions!$B$10&amp;" print + "&amp;Assumptions!$B$11&amp;" ebook units/mo"</f>
        <v>Paperback $16.99, 200 pages   |   Ebook $4.99   |   50 print + 50 ebook units/mo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5" t="s">
        <v>1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A4" s="6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31.5" hidden="false" customHeight="true" outlineLevel="0" collapsed="false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customFormat="false" ht="15" hidden="false" customHeight="true" outlineLevel="0" collapsed="false">
      <c r="A6" s="8" t="s">
        <v>12</v>
      </c>
      <c r="B6" s="9" t="n">
        <f aca="false">'Monthly Scenario'!D5</f>
        <v>6.794</v>
      </c>
      <c r="C6" s="9" t="n">
        <f aca="false">INDEX('Print Unit Econ'!$I$5:$I$11,MATCH('Monthly Scenario'!B5,'Print Unit Econ'!$A$5:$A$11,0))</f>
        <v>0</v>
      </c>
      <c r="D6" s="9" t="n">
        <f aca="false">'Monthly Scenario'!E5</f>
        <v>3.283</v>
      </c>
      <c r="E6" s="9" t="n">
        <f aca="false">INDEX('Ebook Unit Econ'!$I$5:$I$11,MATCH('Monthly Scenario'!C5,'Ebook Unit Econ'!$A$5:$A$11,0))</f>
        <v>0</v>
      </c>
      <c r="F6" s="9" t="n">
        <f aca="false">'Fixed Costs'!J5</f>
        <v>0</v>
      </c>
      <c r="G6" s="9" t="n">
        <f aca="false">'Monthly Scenario'!M5</f>
        <v>6046.2</v>
      </c>
      <c r="H6" s="9" t="n">
        <f aca="false">'Monthly Scenario'!N5</f>
        <v>0</v>
      </c>
      <c r="I6" s="10" t="n">
        <f aca="false">'Monthly Scenario'!O5</f>
        <v>1</v>
      </c>
    </row>
    <row r="7" customFormat="false" ht="15" hidden="false" customHeight="true" outlineLevel="0" collapsed="false">
      <c r="A7" s="8" t="s">
        <v>13</v>
      </c>
      <c r="B7" s="9" t="n">
        <f aca="false">'Monthly Scenario'!D6</f>
        <v>3.3269375</v>
      </c>
      <c r="C7" s="9" t="n">
        <f aca="false">INDEX('Print Unit Econ'!$I$5:$I$11,MATCH('Monthly Scenario'!B6,'Print Unit Econ'!$A$5:$A$11,0))</f>
        <v>-3.4670625</v>
      </c>
      <c r="D7" s="9" t="n">
        <f aca="false">'Monthly Scenario'!E6</f>
        <v>2.96905</v>
      </c>
      <c r="E7" s="9" t="n">
        <f aca="false">INDEX('Ebook Unit Econ'!$I$5:$I$11,MATCH('Monthly Scenario'!C6,'Ebook Unit Econ'!$A$5:$A$11,0))</f>
        <v>-0.31395</v>
      </c>
      <c r="F7" s="9" t="n">
        <f aca="false">'Fixed Costs'!J6</f>
        <v>125</v>
      </c>
      <c r="G7" s="9" t="n">
        <f aca="false">'Monthly Scenario'!M6</f>
        <v>3652.5925</v>
      </c>
      <c r="H7" s="9" t="n">
        <f aca="false">'Monthly Scenario'!N6</f>
        <v>-2393.6075</v>
      </c>
      <c r="I7" s="10" t="n">
        <f aca="false">'Monthly Scenario'!O6</f>
        <v>4</v>
      </c>
    </row>
    <row r="8" customFormat="false" ht="15" hidden="false" customHeight="true" outlineLevel="0" collapsed="false">
      <c r="A8" s="8" t="s">
        <v>14</v>
      </c>
      <c r="B8" s="9" t="n">
        <f aca="false">'Monthly Scenario'!D7</f>
        <v>5.8445</v>
      </c>
      <c r="C8" s="9" t="n">
        <f aca="false">INDEX('Print Unit Econ'!$I$5:$I$11,MATCH('Monthly Scenario'!B7,'Print Unit Econ'!$A$5:$A$11,0))</f>
        <v>-0.949499999999999</v>
      </c>
      <c r="D8" s="9" t="n">
        <f aca="false">'Monthly Scenario'!E7</f>
        <v>3.493</v>
      </c>
      <c r="E8" s="9" t="n">
        <f aca="false">INDEX('Ebook Unit Econ'!$I$5:$I$11,MATCH('Monthly Scenario'!C7,'Ebook Unit Econ'!$A$5:$A$11,0))</f>
        <v>0.21</v>
      </c>
      <c r="F8" s="9" t="n">
        <f aca="false">'Fixed Costs'!J7</f>
        <v>20</v>
      </c>
      <c r="G8" s="9" t="n">
        <f aca="false">'Monthly Scenario'!M7</f>
        <v>5477.5</v>
      </c>
      <c r="H8" s="9" t="n">
        <f aca="false">'Monthly Scenario'!N7</f>
        <v>-568.699999999999</v>
      </c>
      <c r="I8" s="10" t="n">
        <f aca="false">'Monthly Scenario'!O7</f>
        <v>2</v>
      </c>
    </row>
    <row r="9" customFormat="false" ht="15" hidden="false" customHeight="true" outlineLevel="0" collapsed="false">
      <c r="A9" s="8" t="s">
        <v>15</v>
      </c>
      <c r="B9" s="9" t="n">
        <f aca="false">'Monthly Scenario'!D8</f>
        <v>2.796</v>
      </c>
      <c r="C9" s="9" t="n">
        <f aca="false">INDEX('Print Unit Econ'!$I$5:$I$11,MATCH('Monthly Scenario'!B8,'Print Unit Econ'!$A$5:$A$11,0))</f>
        <v>-3.998</v>
      </c>
      <c r="D9" s="9" t="n">
        <f aca="false">'Monthly Scenario'!E8</f>
        <v>1.996</v>
      </c>
      <c r="E9" s="9" t="n">
        <f aca="false">INDEX('Ebook Unit Econ'!$I$5:$I$11,MATCH('Monthly Scenario'!C8,'Ebook Unit Econ'!$A$5:$A$11,0))</f>
        <v>-1.287</v>
      </c>
      <c r="F9" s="9" t="n">
        <f aca="false">'Fixed Costs'!J8</f>
        <v>125</v>
      </c>
      <c r="G9" s="9" t="n">
        <f aca="false">'Monthly Scenario'!M8</f>
        <v>2863.2</v>
      </c>
      <c r="H9" s="9" t="n">
        <f aca="false">'Monthly Scenario'!N8</f>
        <v>-3183</v>
      </c>
      <c r="I9" s="10" t="n">
        <f aca="false">'Monthly Scenario'!O8</f>
        <v>5</v>
      </c>
    </row>
    <row r="10" customFormat="false" ht="15" hidden="false" customHeight="true" outlineLevel="0" collapsed="false">
      <c r="A10" s="8" t="s">
        <v>16</v>
      </c>
      <c r="B10" s="9" t="n">
        <f aca="false">'Monthly Scenario'!D9</f>
        <v>3.6455</v>
      </c>
      <c r="C10" s="9" t="n">
        <f aca="false">INDEX('Print Unit Econ'!$I$5:$I$11,MATCH('Monthly Scenario'!B9,'Print Unit Econ'!$A$5:$A$11,0))</f>
        <v>-3.1485</v>
      </c>
      <c r="D10" s="9" t="n">
        <f aca="false">'Monthly Scenario'!E9</f>
        <v>3.493</v>
      </c>
      <c r="E10" s="9" t="n">
        <f aca="false">INDEX('Ebook Unit Econ'!$I$5:$I$11,MATCH('Monthly Scenario'!C9,'Ebook Unit Econ'!$A$5:$A$11,0))</f>
        <v>0.21</v>
      </c>
      <c r="F10" s="9" t="n">
        <f aca="false">'Fixed Costs'!J9</f>
        <v>12</v>
      </c>
      <c r="G10" s="9" t="n">
        <f aca="false">'Monthly Scenario'!M9</f>
        <v>3990.22</v>
      </c>
      <c r="H10" s="9" t="n">
        <f aca="false">'Monthly Scenario'!N9</f>
        <v>-2055.98</v>
      </c>
      <c r="I10" s="10" t="n">
        <f aca="false">'Monthly Scenario'!O9</f>
        <v>3</v>
      </c>
    </row>
    <row r="11" customFormat="false" ht="15" hidden="false" customHeight="true" outlineLevel="0" collapsed="false">
      <c r="A11" s="8" t="s">
        <v>17</v>
      </c>
      <c r="B11" s="9" t="s">
        <v>18</v>
      </c>
      <c r="C11" s="9" t="s">
        <v>18</v>
      </c>
      <c r="D11" s="9" t="n">
        <f aca="false">'Monthly Scenario'!E10</f>
        <v>3.1437</v>
      </c>
      <c r="E11" s="9" t="n">
        <f aca="false">INDEX('Ebook Unit Econ'!$I$5:$I$11,MATCH('Monthly Scenario'!C10,'Ebook Unit Econ'!$A$5:$A$11,0))</f>
        <v>-0.1393</v>
      </c>
      <c r="F11" s="9" t="n">
        <f aca="false">'Fixed Costs'!J10</f>
        <v>292.88</v>
      </c>
      <c r="G11" s="9" t="n">
        <f aca="false">'Monthly Scenario'!M10</f>
        <v>1866.22</v>
      </c>
      <c r="H11" s="9" t="n">
        <f aca="false">'Monthly Scenario'!N10</f>
        <v>-4179.98</v>
      </c>
      <c r="I11" s="10" t="n">
        <f aca="false">'Monthly Scenario'!O10</f>
        <v>6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true" outlineLevel="0" collapsed="false">
      <c r="A13" s="11" t="s">
        <v>19</v>
      </c>
      <c r="B13" s="3"/>
      <c r="C13" s="3"/>
      <c r="D13" s="3"/>
      <c r="E13" s="3"/>
      <c r="F13" s="3"/>
      <c r="G13" s="3"/>
      <c r="H13" s="3"/>
      <c r="I13" s="3"/>
    </row>
    <row r="14" customFormat="false" ht="30" hidden="false" customHeight="true" outlineLevel="0" collapsed="false">
      <c r="A14" s="12" t="s">
        <v>20</v>
      </c>
      <c r="B14" s="12"/>
      <c r="C14" s="12"/>
      <c r="D14" s="12"/>
      <c r="E14" s="12"/>
      <c r="F14" s="12"/>
      <c r="G14" s="12"/>
      <c r="H14" s="12"/>
      <c r="I14" s="12"/>
    </row>
    <row r="15" customFormat="false" ht="30" hidden="false" customHeight="true" outlineLevel="0" collapsed="false">
      <c r="A15" s="12" t="s">
        <v>21</v>
      </c>
      <c r="B15" s="12"/>
      <c r="C15" s="12"/>
      <c r="D15" s="12"/>
      <c r="E15" s="12"/>
      <c r="F15" s="12"/>
      <c r="G15" s="12"/>
      <c r="H15" s="12"/>
      <c r="I15" s="12"/>
    </row>
    <row r="16" customFormat="false" ht="30" hidden="false" customHeight="true" outlineLevel="0" collapsed="false">
      <c r="A16" s="12" t="s">
        <v>22</v>
      </c>
      <c r="B16" s="12"/>
      <c r="C16" s="12"/>
      <c r="D16" s="12"/>
      <c r="E16" s="12"/>
      <c r="F16" s="12"/>
      <c r="G16" s="12"/>
      <c r="H16" s="12"/>
      <c r="I16" s="12"/>
    </row>
    <row r="17" customFormat="false" ht="30" hidden="false" customHeight="true" outlineLevel="0" collapsed="false">
      <c r="A17" s="12" t="s">
        <v>23</v>
      </c>
      <c r="B17" s="12"/>
      <c r="C17" s="12"/>
      <c r="D17" s="12"/>
      <c r="E17" s="12"/>
      <c r="F17" s="12"/>
      <c r="G17" s="12"/>
      <c r="H17" s="12"/>
      <c r="I17" s="12"/>
    </row>
    <row r="18" customFormat="false" ht="30" hidden="false" customHeight="true" outlineLevel="0" collapsed="false">
      <c r="A18" s="12" t="s">
        <v>24</v>
      </c>
      <c r="B18" s="12"/>
      <c r="C18" s="12"/>
      <c r="D18" s="12"/>
      <c r="E18" s="12"/>
      <c r="F18" s="12"/>
      <c r="G18" s="12"/>
      <c r="H18" s="12"/>
      <c r="I18" s="12"/>
    </row>
    <row r="19" customFormat="false" ht="30" hidden="false" customHeight="true" outlineLevel="0" collapsed="false">
      <c r="A19" s="12" t="s">
        <v>25</v>
      </c>
      <c r="B19" s="12"/>
      <c r="C19" s="12"/>
      <c r="D19" s="12"/>
      <c r="E19" s="12"/>
      <c r="F19" s="12"/>
      <c r="G19" s="12"/>
      <c r="H19" s="12"/>
      <c r="I19" s="12"/>
    </row>
  </sheetData>
  <mergeCells count="6">
    <mergeCell ref="A14:I14"/>
    <mergeCell ref="A15:I15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90"/>
  </cols>
  <sheetData>
    <row r="1" customFormat="false" ht="17.25" hidden="false" customHeight="true" outlineLevel="0" collapsed="false">
      <c r="A1" s="13" t="s">
        <v>26</v>
      </c>
      <c r="B1" s="3"/>
      <c r="C1" s="3"/>
      <c r="D1" s="3"/>
    </row>
    <row r="2" customFormat="false" ht="15" hidden="false" customHeight="true" outlineLevel="0" collapsed="false">
      <c r="A2" s="4" t="s">
        <v>27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31.5" hidden="false" customHeight="true" outlineLevel="0" collapsed="false">
      <c r="A4" s="7" t="s">
        <v>28</v>
      </c>
      <c r="B4" s="7" t="s">
        <v>29</v>
      </c>
      <c r="C4" s="7" t="s">
        <v>30</v>
      </c>
      <c r="D4" s="7" t="s">
        <v>31</v>
      </c>
    </row>
    <row r="5" customFormat="false" ht="15" hidden="false" customHeight="true" outlineLevel="0" collapsed="false">
      <c r="A5" s="14" t="s">
        <v>32</v>
      </c>
      <c r="B5" s="15"/>
      <c r="C5" s="15"/>
      <c r="D5" s="15"/>
    </row>
    <row r="6" customFormat="false" ht="15" hidden="false" customHeight="true" outlineLevel="0" collapsed="false">
      <c r="A6" s="16" t="s">
        <v>33</v>
      </c>
      <c r="B6" s="17" t="n">
        <v>16.99</v>
      </c>
      <c r="C6" s="16" t="s">
        <v>34</v>
      </c>
      <c r="D6" s="18" t="s">
        <v>35</v>
      </c>
    </row>
    <row r="7" customFormat="false" ht="15" hidden="false" customHeight="true" outlineLevel="0" collapsed="false">
      <c r="A7" s="16" t="s">
        <v>36</v>
      </c>
      <c r="B7" s="19" t="n">
        <v>200</v>
      </c>
      <c r="C7" s="16" t="s">
        <v>37</v>
      </c>
      <c r="D7" s="18" t="s">
        <v>38</v>
      </c>
    </row>
    <row r="8" customFormat="false" ht="15" hidden="false" customHeight="true" outlineLevel="0" collapsed="false">
      <c r="A8" s="16" t="s">
        <v>39</v>
      </c>
      <c r="B8" s="17" t="n">
        <v>4.99</v>
      </c>
      <c r="C8" s="16" t="s">
        <v>34</v>
      </c>
      <c r="D8" s="18" t="s">
        <v>40</v>
      </c>
    </row>
    <row r="9" customFormat="false" ht="15" hidden="false" customHeight="true" outlineLevel="0" collapsed="false">
      <c r="A9" s="16" t="s">
        <v>41</v>
      </c>
      <c r="B9" s="20" t="n">
        <v>2</v>
      </c>
      <c r="C9" s="16" t="s">
        <v>42</v>
      </c>
      <c r="D9" s="18" t="s">
        <v>43</v>
      </c>
    </row>
    <row r="10" customFormat="false" ht="15" hidden="false" customHeight="true" outlineLevel="0" collapsed="false">
      <c r="A10" s="16" t="s">
        <v>44</v>
      </c>
      <c r="B10" s="19" t="n">
        <v>50</v>
      </c>
      <c r="C10" s="16" t="s">
        <v>45</v>
      </c>
      <c r="D10" s="18" t="s">
        <v>46</v>
      </c>
    </row>
    <row r="11" customFormat="false" ht="15" hidden="false" customHeight="true" outlineLevel="0" collapsed="false">
      <c r="A11" s="16" t="s">
        <v>47</v>
      </c>
      <c r="B11" s="19" t="n">
        <v>50</v>
      </c>
      <c r="C11" s="16" t="s">
        <v>45</v>
      </c>
      <c r="D11" s="18" t="s">
        <v>46</v>
      </c>
    </row>
    <row r="12" customFormat="false" ht="15" hidden="false" customHeight="true" outlineLevel="0" collapsed="false">
      <c r="A12" s="14" t="s">
        <v>48</v>
      </c>
      <c r="B12" s="15"/>
      <c r="C12" s="15"/>
      <c r="D12" s="15"/>
    </row>
    <row r="13" customFormat="false" ht="15" hidden="false" customHeight="true" outlineLevel="0" collapsed="false">
      <c r="A13" s="16" t="s">
        <v>49</v>
      </c>
      <c r="B13" s="20" t="s">
        <v>12</v>
      </c>
      <c r="C13" s="16" t="s">
        <v>50</v>
      </c>
      <c r="D13" s="18" t="s">
        <v>51</v>
      </c>
    </row>
    <row r="14" customFormat="false" ht="15" hidden="false" customHeight="true" outlineLevel="0" collapsed="false">
      <c r="A14" s="16" t="s">
        <v>52</v>
      </c>
      <c r="B14" s="20" t="s">
        <v>12</v>
      </c>
      <c r="C14" s="16" t="s">
        <v>50</v>
      </c>
      <c r="D14" s="18" t="s">
        <v>53</v>
      </c>
    </row>
    <row r="15" customFormat="false" ht="15" hidden="false" customHeight="true" outlineLevel="0" collapsed="false">
      <c r="A15" s="16" t="s">
        <v>54</v>
      </c>
      <c r="B15" s="20" t="s">
        <v>12</v>
      </c>
      <c r="C15" s="16" t="s">
        <v>50</v>
      </c>
      <c r="D15" s="18" t="s">
        <v>55</v>
      </c>
    </row>
    <row r="16" customFormat="false" ht="15" hidden="false" customHeight="true" outlineLevel="0" collapsed="false">
      <c r="A16" s="14" t="s">
        <v>12</v>
      </c>
      <c r="B16" s="15"/>
      <c r="C16" s="15"/>
      <c r="D16" s="15"/>
    </row>
    <row r="17" customFormat="false" ht="15" hidden="false" customHeight="true" outlineLevel="0" collapsed="false">
      <c r="A17" s="16" t="s">
        <v>56</v>
      </c>
      <c r="B17" s="21" t="n">
        <v>0.6</v>
      </c>
      <c r="C17" s="16" t="s">
        <v>57</v>
      </c>
      <c r="D17" s="18" t="s">
        <v>58</v>
      </c>
    </row>
    <row r="18" customFormat="false" ht="15" hidden="false" customHeight="true" outlineLevel="0" collapsed="false">
      <c r="A18" s="16" t="s">
        <v>59</v>
      </c>
      <c r="B18" s="21" t="n">
        <v>0.4</v>
      </c>
      <c r="C18" s="16" t="s">
        <v>57</v>
      </c>
      <c r="D18" s="18" t="s">
        <v>60</v>
      </c>
    </row>
    <row r="19" customFormat="false" ht="15" hidden="false" customHeight="true" outlineLevel="0" collapsed="false">
      <c r="A19" s="16" t="s">
        <v>61</v>
      </c>
      <c r="B19" s="22" t="n">
        <v>2.3</v>
      </c>
      <c r="C19" s="16" t="s">
        <v>34</v>
      </c>
      <c r="D19" s="18" t="s">
        <v>62</v>
      </c>
    </row>
    <row r="20" customFormat="false" ht="15" hidden="false" customHeight="true" outlineLevel="0" collapsed="false">
      <c r="A20" s="16" t="s">
        <v>63</v>
      </c>
      <c r="B20" s="17" t="n">
        <v>1</v>
      </c>
      <c r="C20" s="16" t="s">
        <v>34</v>
      </c>
      <c r="D20" s="18" t="s">
        <v>64</v>
      </c>
    </row>
    <row r="21" customFormat="false" ht="15" hidden="false" customHeight="true" outlineLevel="0" collapsed="false">
      <c r="A21" s="16" t="s">
        <v>65</v>
      </c>
      <c r="B21" s="22" t="n">
        <v>0.012</v>
      </c>
      <c r="C21" s="16" t="s">
        <v>66</v>
      </c>
      <c r="D21" s="18" t="s">
        <v>67</v>
      </c>
    </row>
    <row r="22" customFormat="false" ht="15" hidden="false" customHeight="true" outlineLevel="0" collapsed="false">
      <c r="A22" s="16" t="s">
        <v>68</v>
      </c>
      <c r="B22" s="21" t="n">
        <v>0.7</v>
      </c>
      <c r="C22" s="16" t="s">
        <v>57</v>
      </c>
      <c r="D22" s="18" t="s">
        <v>69</v>
      </c>
    </row>
    <row r="23" customFormat="false" ht="15" hidden="false" customHeight="true" outlineLevel="0" collapsed="false">
      <c r="A23" s="16" t="s">
        <v>70</v>
      </c>
      <c r="B23" s="21" t="n">
        <v>0.35</v>
      </c>
      <c r="C23" s="16" t="s">
        <v>57</v>
      </c>
      <c r="D23" s="18" t="s">
        <v>71</v>
      </c>
    </row>
    <row r="24" customFormat="false" ht="15" hidden="false" customHeight="true" outlineLevel="0" collapsed="false">
      <c r="A24" s="16" t="s">
        <v>72</v>
      </c>
      <c r="B24" s="22" t="n">
        <v>0.15</v>
      </c>
      <c r="C24" s="16" t="s">
        <v>73</v>
      </c>
      <c r="D24" s="18" t="s">
        <v>74</v>
      </c>
    </row>
    <row r="25" customFormat="false" ht="15" hidden="false" customHeight="true" outlineLevel="0" collapsed="false">
      <c r="A25" s="14" t="s">
        <v>13</v>
      </c>
      <c r="B25" s="15"/>
      <c r="C25" s="15"/>
      <c r="D25" s="15"/>
    </row>
    <row r="26" customFormat="false" ht="15" hidden="false" customHeight="true" outlineLevel="0" collapsed="false">
      <c r="A26" s="16" t="s">
        <v>75</v>
      </c>
      <c r="B26" s="23" t="n">
        <v>0.55</v>
      </c>
      <c r="C26" s="16" t="s">
        <v>57</v>
      </c>
      <c r="D26" s="18" t="s">
        <v>76</v>
      </c>
    </row>
    <row r="27" customFormat="false" ht="15" hidden="false" customHeight="true" outlineLevel="0" collapsed="false">
      <c r="A27" s="16" t="s">
        <v>77</v>
      </c>
      <c r="B27" s="24" t="n">
        <v>0.01875</v>
      </c>
      <c r="C27" s="16" t="s">
        <v>78</v>
      </c>
      <c r="D27" s="18" t="s">
        <v>79</v>
      </c>
    </row>
    <row r="28" customFormat="false" ht="26.25" hidden="false" customHeight="true" outlineLevel="0" collapsed="false">
      <c r="A28" s="16" t="s">
        <v>80</v>
      </c>
      <c r="B28" s="17" t="n">
        <v>4</v>
      </c>
      <c r="C28" s="16" t="s">
        <v>34</v>
      </c>
      <c r="D28" s="18" t="s">
        <v>81</v>
      </c>
    </row>
    <row r="29" customFormat="false" ht="15" hidden="false" customHeight="true" outlineLevel="0" collapsed="false">
      <c r="A29" s="16" t="s">
        <v>82</v>
      </c>
      <c r="B29" s="21" t="n">
        <v>0.15</v>
      </c>
      <c r="C29" s="16" t="s">
        <v>83</v>
      </c>
      <c r="D29" s="18" t="s">
        <v>84</v>
      </c>
    </row>
    <row r="30" customFormat="false" ht="15" hidden="false" customHeight="true" outlineLevel="0" collapsed="false">
      <c r="A30" s="14" t="s">
        <v>85</v>
      </c>
      <c r="B30" s="15"/>
      <c r="C30" s="15"/>
      <c r="D30" s="15"/>
    </row>
    <row r="31" customFormat="false" ht="15" hidden="false" customHeight="true" outlineLevel="0" collapsed="false">
      <c r="A31" s="16" t="s">
        <v>86</v>
      </c>
      <c r="B31" s="21" t="n">
        <v>0.55</v>
      </c>
      <c r="C31" s="16" t="s">
        <v>57</v>
      </c>
      <c r="D31" s="18" t="s">
        <v>87</v>
      </c>
    </row>
    <row r="32" customFormat="false" ht="15" hidden="false" customHeight="true" outlineLevel="0" collapsed="false">
      <c r="A32" s="16" t="s">
        <v>88</v>
      </c>
      <c r="B32" s="17" t="n">
        <v>3.5</v>
      </c>
      <c r="C32" s="16" t="s">
        <v>34</v>
      </c>
      <c r="D32" s="18" t="s">
        <v>89</v>
      </c>
    </row>
    <row r="33" customFormat="false" ht="15" hidden="false" customHeight="true" outlineLevel="0" collapsed="false">
      <c r="A33" s="16" t="s">
        <v>90</v>
      </c>
      <c r="B33" s="21" t="n">
        <v>0.7</v>
      </c>
      <c r="C33" s="16" t="s">
        <v>57</v>
      </c>
      <c r="D33" s="18" t="s">
        <v>91</v>
      </c>
    </row>
    <row r="34" customFormat="false" ht="15" hidden="false" customHeight="true" outlineLevel="0" collapsed="false">
      <c r="A34" s="14" t="s">
        <v>15</v>
      </c>
      <c r="B34" s="15"/>
      <c r="C34" s="15"/>
      <c r="D34" s="15"/>
    </row>
    <row r="35" customFormat="false" ht="15" hidden="false" customHeight="true" outlineLevel="0" collapsed="false">
      <c r="A35" s="16" t="s">
        <v>92</v>
      </c>
      <c r="B35" s="17" t="n">
        <v>5</v>
      </c>
      <c r="C35" s="16" t="s">
        <v>34</v>
      </c>
      <c r="D35" s="18" t="s">
        <v>93</v>
      </c>
    </row>
    <row r="36" customFormat="false" ht="26.25" hidden="false" customHeight="true" outlineLevel="0" collapsed="false">
      <c r="A36" s="16" t="s">
        <v>94</v>
      </c>
      <c r="B36" s="21" t="n">
        <v>0.5</v>
      </c>
      <c r="C36" s="16" t="s">
        <v>78</v>
      </c>
      <c r="D36" s="18" t="s">
        <v>95</v>
      </c>
    </row>
    <row r="37" customFormat="false" ht="15" hidden="false" customHeight="true" outlineLevel="0" collapsed="false">
      <c r="A37" s="16" t="s">
        <v>96</v>
      </c>
      <c r="B37" s="21" t="n">
        <v>0.2</v>
      </c>
      <c r="C37" s="16" t="s">
        <v>97</v>
      </c>
      <c r="D37" s="18" t="s">
        <v>98</v>
      </c>
    </row>
    <row r="38" customFormat="false" ht="15" hidden="false" customHeight="true" outlineLevel="0" collapsed="false">
      <c r="A38" s="14" t="s">
        <v>99</v>
      </c>
      <c r="B38" s="15"/>
      <c r="C38" s="15"/>
      <c r="D38" s="15"/>
    </row>
    <row r="39" customFormat="false" ht="15" hidden="false" customHeight="true" outlineLevel="0" collapsed="false">
      <c r="A39" s="16" t="s">
        <v>100</v>
      </c>
      <c r="B39" s="21" t="n">
        <v>0.7</v>
      </c>
      <c r="C39" s="16" t="s">
        <v>57</v>
      </c>
      <c r="D39" s="18" t="s">
        <v>101</v>
      </c>
    </row>
    <row r="40" customFormat="false" ht="26.25" hidden="false" customHeight="true" outlineLevel="0" collapsed="false">
      <c r="A40" s="16" t="s">
        <v>102</v>
      </c>
      <c r="B40" s="21" t="n">
        <v>0.1</v>
      </c>
      <c r="C40" s="16" t="s">
        <v>57</v>
      </c>
      <c r="D40" s="18" t="s">
        <v>103</v>
      </c>
    </row>
    <row r="41" customFormat="false" ht="15" hidden="false" customHeight="true" outlineLevel="0" collapsed="false">
      <c r="A41" s="14" t="s">
        <v>104</v>
      </c>
      <c r="B41" s="15"/>
      <c r="C41" s="15"/>
      <c r="D41" s="15"/>
    </row>
    <row r="42" customFormat="false" ht="15" hidden="false" customHeight="true" outlineLevel="0" collapsed="false">
      <c r="A42" s="16" t="s">
        <v>105</v>
      </c>
      <c r="B42" s="25" t="n">
        <v>125</v>
      </c>
      <c r="C42" s="16" t="s">
        <v>34</v>
      </c>
      <c r="D42" s="18" t="s">
        <v>106</v>
      </c>
    </row>
    <row r="43" customFormat="false" ht="15" hidden="false" customHeight="true" outlineLevel="0" collapsed="false">
      <c r="A43" s="16" t="s">
        <v>107</v>
      </c>
      <c r="B43" s="26" t="n">
        <v>20</v>
      </c>
      <c r="C43" s="16" t="s">
        <v>34</v>
      </c>
      <c r="D43" s="18" t="s">
        <v>108</v>
      </c>
    </row>
    <row r="44" customFormat="false" ht="15" hidden="false" customHeight="true" outlineLevel="0" collapsed="false">
      <c r="A44" s="16" t="s">
        <v>109</v>
      </c>
      <c r="B44" s="22" t="n">
        <v>12</v>
      </c>
      <c r="C44" s="16" t="s">
        <v>34</v>
      </c>
      <c r="D44" s="18" t="s">
        <v>110</v>
      </c>
    </row>
    <row r="45" customFormat="false" ht="15" hidden="false" customHeight="true" outlineLevel="0" collapsed="false">
      <c r="A45" s="16" t="s">
        <v>111</v>
      </c>
      <c r="B45" s="17" t="n">
        <v>13.99</v>
      </c>
      <c r="C45" s="16" t="s">
        <v>112</v>
      </c>
      <c r="D45" s="18" t="s">
        <v>113</v>
      </c>
    </row>
  </sheetData>
  <dataValidations count="3">
    <dataValidation allowBlank="false" errorStyle="stop" operator="between" showDropDown="false" showErrorMessage="false" showInputMessage="false" sqref="B13" type="list">
      <formula1>"Amazon KDP,KDP Expanded Distribution,IngramSpark,B&amp;N Press,Lulu Bookstore,Lulu (Retail),PublishDrive"</formula1>
      <formula2>0</formula2>
    </dataValidation>
    <dataValidation allowBlank="false" errorStyle="stop" operator="between" showDropDown="false" showErrorMessage="false" showInputMessage="false" sqref="B14" type="list">
      <formula1>"Amazon KDP,Apple Books (direct),B&amp;N Press,Draft2Digital (via Apple),IngramSpark (via Apple),PublishDrive (via Apple),Lulu (Retail)"</formula1>
      <formula2>0</formula2>
    </dataValidation>
    <dataValidation allowBlank="false" errorStyle="stop" operator="between" showDropDown="false" showErrorMessage="false" showInputMessage="false" sqref="B15" type="list">
      <formula1>"Amazon KDP,IngramSpark,B&amp;N Press,Lulu,PublishDrive,Draft2Digital"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1" min="10" style="1" width="13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7"/>
  </cols>
  <sheetData>
    <row r="1" customFormat="false" ht="17.25" hidden="false" customHeight="true" outlineLevel="0" collapsed="false">
      <c r="A1" s="13" t="s">
        <v>114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true" outlineLevel="0" collapsed="false">
      <c r="A2" s="4" t="str">
        <f aca="false">"Baseline: "&amp;Assumptions!$B$13&amp;"   |   List price: "&amp;TEXT(Assumptions!$B$6,"$0.00")&amp;"   |   Pages: "&amp;Assumptions!$B$7</f>
        <v>Baseline: Amazon KDP   |   List price: $16.99   |   Pages: 200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1.5" hidden="false" customHeight="true" outlineLevel="0" collapsed="false">
      <c r="A4" s="7" t="s">
        <v>3</v>
      </c>
      <c r="B4" s="7" t="s">
        <v>115</v>
      </c>
      <c r="C4" s="7" t="s">
        <v>116</v>
      </c>
      <c r="D4" s="7" t="s">
        <v>117</v>
      </c>
      <c r="E4" s="7" t="s">
        <v>118</v>
      </c>
      <c r="F4" s="7" t="s">
        <v>119</v>
      </c>
      <c r="G4" s="7" t="s">
        <v>120</v>
      </c>
      <c r="H4" s="7" t="s">
        <v>121</v>
      </c>
      <c r="I4" s="7" t="s">
        <v>122</v>
      </c>
      <c r="J4" s="7" t="s">
        <v>123</v>
      </c>
      <c r="K4" s="7" t="s">
        <v>124</v>
      </c>
      <c r="L4" s="7" t="s">
        <v>125</v>
      </c>
      <c r="M4" s="7" t="s">
        <v>126</v>
      </c>
      <c r="N4" s="7" t="s">
        <v>11</v>
      </c>
    </row>
    <row r="5" customFormat="false" ht="15" hidden="false" customHeight="true" outlineLevel="0" collapsed="false">
      <c r="A5" s="8" t="s">
        <v>12</v>
      </c>
      <c r="B5" s="27" t="s">
        <v>127</v>
      </c>
      <c r="C5" s="28" t="n">
        <f aca="false">Assumptions!$B$6</f>
        <v>16.99</v>
      </c>
      <c r="D5" s="29" t="n">
        <f aca="false">Assumptions!$B$6*(1-Assumptions!$B$17)</f>
        <v>6.796</v>
      </c>
      <c r="E5" s="29" t="n">
        <f aca="false">IF(Assumptions!$B$7&lt;=108,Assumptions!$B$19,Assumptions!$B$20+Assumptions!$B$7*Assumptions!$B$21)</f>
        <v>3.4</v>
      </c>
      <c r="F5" s="29" t="n">
        <f aca="false">0</f>
        <v>0</v>
      </c>
      <c r="G5" s="30" t="n">
        <f aca="false">C5-D5-E5-F5</f>
        <v>6.794</v>
      </c>
      <c r="H5" s="31" t="n">
        <f aca="false">IFERROR(G5/C5,0)</f>
        <v>0.399882283696292</v>
      </c>
      <c r="I5" s="29" t="n">
        <f aca="false">G5-INDEX($G$5:$G$11,MATCH(Assumptions!$B$13,$A$5:$A$11,0))</f>
        <v>0</v>
      </c>
      <c r="J5" s="31" t="n">
        <f aca="false">IFERROR(I5/ABS(INDEX($G$5:$G$11,MATCH(Assumptions!$B$13,$A$5:$A$11,0))),0)</f>
        <v>0</v>
      </c>
      <c r="K5" s="29" t="n">
        <f aca="false">INDEX($D$5:$D$11,MATCH(Assumptions!$B$13,$A$5:$A$11,0))-D5</f>
        <v>0</v>
      </c>
      <c r="L5" s="29" t="n">
        <f aca="false">INDEX($E$5:$E$11,MATCH(Assumptions!$B$13,$A$5:$A$11,0))-E5</f>
        <v>0</v>
      </c>
      <c r="M5" s="29" t="n">
        <f aca="false">INDEX($F$5:$F$11,MATCH(Assumptions!$B$13,$A$5:$A$11,0))-F5</f>
        <v>0</v>
      </c>
      <c r="N5" s="27" t="n">
        <f aca="false">RANK(G5,$G$5:$G$11)</f>
        <v>2</v>
      </c>
    </row>
    <row r="6" customFormat="false" ht="15" hidden="false" customHeight="true" outlineLevel="0" collapsed="false">
      <c r="A6" s="8" t="s">
        <v>128</v>
      </c>
      <c r="B6" s="27" t="s">
        <v>129</v>
      </c>
      <c r="C6" s="28" t="n">
        <f aca="false">Assumptions!$B$6</f>
        <v>16.99</v>
      </c>
      <c r="D6" s="29" t="n">
        <f aca="false">Assumptions!$B$6*(1-Assumptions!$B$18)</f>
        <v>10.194</v>
      </c>
      <c r="E6" s="29" t="n">
        <f aca="false">IF(Assumptions!$B$7&lt;=108,Assumptions!$B$19,Assumptions!$B$20+Assumptions!$B$7*Assumptions!$B$21)</f>
        <v>3.4</v>
      </c>
      <c r="F6" s="29" t="n">
        <f aca="false">0</f>
        <v>0</v>
      </c>
      <c r="G6" s="30" t="n">
        <f aca="false">C6-D6-E6-F6</f>
        <v>3.396</v>
      </c>
      <c r="H6" s="31" t="n">
        <f aca="false">IFERROR(G6/C6,0)</f>
        <v>0.199882283696292</v>
      </c>
      <c r="I6" s="29" t="n">
        <f aca="false">G6-INDEX($G$5:$G$11,MATCH(Assumptions!$B$13,$A$5:$A$11,0))</f>
        <v>-3.398</v>
      </c>
      <c r="J6" s="31" t="n">
        <f aca="false">IFERROR(I6/ABS(INDEX($G$5:$G$11,MATCH(Assumptions!$B$13,$A$5:$A$11,0))),0)</f>
        <v>-0.500147188695908</v>
      </c>
      <c r="K6" s="29" t="n">
        <f aca="false">INDEX($D$5:$D$11,MATCH(Assumptions!$B$13,$A$5:$A$11,0))-D6</f>
        <v>-3.398</v>
      </c>
      <c r="L6" s="29" t="n">
        <f aca="false">INDEX($E$5:$E$11,MATCH(Assumptions!$B$13,$A$5:$A$11,0))-E6</f>
        <v>0</v>
      </c>
      <c r="M6" s="29" t="n">
        <f aca="false">INDEX($F$5:$F$11,MATCH(Assumptions!$B$13,$A$5:$A$11,0))-F6</f>
        <v>0</v>
      </c>
      <c r="N6" s="27" t="n">
        <f aca="false">RANK(G6,$G$5:$G$11)</f>
        <v>5</v>
      </c>
    </row>
    <row r="7" customFormat="false" ht="15" hidden="false" customHeight="true" outlineLevel="0" collapsed="false">
      <c r="A7" s="8" t="s">
        <v>13</v>
      </c>
      <c r="B7" s="27" t="s">
        <v>130</v>
      </c>
      <c r="C7" s="28" t="n">
        <f aca="false">Assumptions!$B$6</f>
        <v>16.99</v>
      </c>
      <c r="D7" s="29" t="n">
        <f aca="false">Assumptions!$B$6*Assumptions!$B$26</f>
        <v>9.3445</v>
      </c>
      <c r="E7" s="29" t="n">
        <f aca="false">Assumptions!$B$28</f>
        <v>4</v>
      </c>
      <c r="F7" s="29" t="n">
        <f aca="false">Assumptions!$B$6*Assumptions!$B$27</f>
        <v>0.3185625</v>
      </c>
      <c r="G7" s="30" t="n">
        <f aca="false">C7-D7-E7-F7</f>
        <v>3.3269375</v>
      </c>
      <c r="H7" s="31" t="n">
        <f aca="false">IFERROR(G7/C7,0)</f>
        <v>0.195817392583873</v>
      </c>
      <c r="I7" s="29" t="n">
        <f aca="false">G7-INDEX($G$5:$G$11,MATCH(Assumptions!$B$13,$A$5:$A$11,0))</f>
        <v>-3.4670625</v>
      </c>
      <c r="J7" s="31" t="n">
        <f aca="false">IFERROR(I7/ABS(INDEX($G$5:$G$11,MATCH(Assumptions!$B$13,$A$5:$A$11,0))),0)</f>
        <v>-0.510312408007065</v>
      </c>
      <c r="K7" s="29" t="n">
        <f aca="false">INDEX($D$5:$D$11,MATCH(Assumptions!$B$13,$A$5:$A$11,0))-D7</f>
        <v>-2.5485</v>
      </c>
      <c r="L7" s="29" t="n">
        <f aca="false">INDEX($E$5:$E$11,MATCH(Assumptions!$B$13,$A$5:$A$11,0))-E7</f>
        <v>-0.6</v>
      </c>
      <c r="M7" s="29" t="n">
        <f aca="false">INDEX($F$5:$F$11,MATCH(Assumptions!$B$13,$A$5:$A$11,0))-F7</f>
        <v>-0.3185625</v>
      </c>
      <c r="N7" s="27" t="n">
        <f aca="false">RANK(G7,$G$5:$G$11)</f>
        <v>6</v>
      </c>
    </row>
    <row r="8" customFormat="false" ht="15" hidden="false" customHeight="true" outlineLevel="0" collapsed="false">
      <c r="A8" s="8" t="s">
        <v>14</v>
      </c>
      <c r="B8" s="27" t="s">
        <v>131</v>
      </c>
      <c r="C8" s="28" t="n">
        <f aca="false">Assumptions!$B$6</f>
        <v>16.99</v>
      </c>
      <c r="D8" s="29" t="n">
        <f aca="false">Assumptions!$B$6*(1-Assumptions!$B$31)</f>
        <v>7.6455</v>
      </c>
      <c r="E8" s="29" t="n">
        <f aca="false">Assumptions!$B$32</f>
        <v>3.5</v>
      </c>
      <c r="F8" s="29" t="n">
        <f aca="false">0</f>
        <v>0</v>
      </c>
      <c r="G8" s="30" t="n">
        <f aca="false">C8-D8-E8-F8</f>
        <v>5.8445</v>
      </c>
      <c r="H8" s="31" t="n">
        <f aca="false">IFERROR(G8/C8,0)</f>
        <v>0.343996468510889</v>
      </c>
      <c r="I8" s="29" t="n">
        <f aca="false">G8-INDEX($G$5:$G$11,MATCH(Assumptions!$B$13,$A$5:$A$11,0))</f>
        <v>-0.949499999999999</v>
      </c>
      <c r="J8" s="31" t="n">
        <f aca="false">IFERROR(I8/ABS(INDEX($G$5:$G$11,MATCH(Assumptions!$B$13,$A$5:$A$11,0))),0)</f>
        <v>-0.139755666764792</v>
      </c>
      <c r="K8" s="29" t="n">
        <f aca="false">INDEX($D$5:$D$11,MATCH(Assumptions!$B$13,$A$5:$A$11,0))-D8</f>
        <v>-0.849499999999999</v>
      </c>
      <c r="L8" s="29" t="n">
        <f aca="false">INDEX($E$5:$E$11,MATCH(Assumptions!$B$13,$A$5:$A$11,0))-E8</f>
        <v>-0.1</v>
      </c>
      <c r="M8" s="29" t="n">
        <f aca="false">INDEX($F$5:$F$11,MATCH(Assumptions!$B$13,$A$5:$A$11,0))-F8</f>
        <v>0</v>
      </c>
      <c r="N8" s="27" t="n">
        <f aca="false">RANK(G8,$G$5:$G$11)</f>
        <v>3</v>
      </c>
    </row>
    <row r="9" customFormat="false" ht="15" hidden="false" customHeight="true" outlineLevel="0" collapsed="false">
      <c r="A9" s="8" t="s">
        <v>132</v>
      </c>
      <c r="B9" s="27" t="s">
        <v>133</v>
      </c>
      <c r="C9" s="28" t="n">
        <f aca="false">Assumptions!$B$6</f>
        <v>16.99</v>
      </c>
      <c r="D9" s="29" t="n">
        <f aca="false">0</f>
        <v>0</v>
      </c>
      <c r="E9" s="29" t="n">
        <f aca="false">Assumptions!$B$35</f>
        <v>5</v>
      </c>
      <c r="F9" s="29" t="n">
        <f aca="false">(C9-D9-E9)*Assumptions!$B$37</f>
        <v>2.398</v>
      </c>
      <c r="G9" s="30" t="n">
        <f aca="false">C9-D9-E9-F9</f>
        <v>9.592</v>
      </c>
      <c r="H9" s="31" t="n">
        <f aca="false">IFERROR(G9/C9,0)</f>
        <v>0.564567392583873</v>
      </c>
      <c r="I9" s="29" t="n">
        <f aca="false">G9-INDEX($G$5:$G$11,MATCH(Assumptions!$B$13,$A$5:$A$11,0))</f>
        <v>2.798</v>
      </c>
      <c r="J9" s="31" t="n">
        <f aca="false">IFERROR(I9/ABS(INDEX($G$5:$G$11,MATCH(Assumptions!$B$13,$A$5:$A$11,0))),0)</f>
        <v>0.411833971151016</v>
      </c>
      <c r="K9" s="29" t="n">
        <f aca="false">INDEX($D$5:$D$11,MATCH(Assumptions!$B$13,$A$5:$A$11,0))-D9</f>
        <v>6.796</v>
      </c>
      <c r="L9" s="29" t="n">
        <f aca="false">INDEX($E$5:$E$11,MATCH(Assumptions!$B$13,$A$5:$A$11,0))-E9</f>
        <v>-1.6</v>
      </c>
      <c r="M9" s="29" t="n">
        <f aca="false">INDEX($F$5:$F$11,MATCH(Assumptions!$B$13,$A$5:$A$11,0))-F9</f>
        <v>-2.398</v>
      </c>
      <c r="N9" s="27" t="n">
        <f aca="false">RANK(G9,$G$5:$G$11)</f>
        <v>1</v>
      </c>
    </row>
    <row r="10" customFormat="false" ht="15" hidden="false" customHeight="true" outlineLevel="0" collapsed="false">
      <c r="A10" s="8" t="s">
        <v>134</v>
      </c>
      <c r="B10" s="27" t="s">
        <v>135</v>
      </c>
      <c r="C10" s="28" t="n">
        <f aca="false">Assumptions!$B$6</f>
        <v>16.99</v>
      </c>
      <c r="D10" s="29" t="n">
        <f aca="false">Assumptions!$B$6*Assumptions!$B$36</f>
        <v>8.495</v>
      </c>
      <c r="E10" s="29" t="n">
        <f aca="false">Assumptions!$B$35</f>
        <v>5</v>
      </c>
      <c r="F10" s="29" t="n">
        <f aca="false">(C10-D10-E10)*Assumptions!$B$37</f>
        <v>0.699</v>
      </c>
      <c r="G10" s="30" t="n">
        <f aca="false">C10-D10-E10-F10</f>
        <v>2.796</v>
      </c>
      <c r="H10" s="31" t="n">
        <f aca="false">IFERROR(G10/C10,0)</f>
        <v>0.164567392583873</v>
      </c>
      <c r="I10" s="29" t="n">
        <f aca="false">G10-INDEX($G$5:$G$11,MATCH(Assumptions!$B$13,$A$5:$A$11,0))</f>
        <v>-3.998</v>
      </c>
      <c r="J10" s="31" t="n">
        <f aca="false">IFERROR(I10/ABS(INDEX($G$5:$G$11,MATCH(Assumptions!$B$13,$A$5:$A$11,0))),0)</f>
        <v>-0.588460406240801</v>
      </c>
      <c r="K10" s="29" t="n">
        <f aca="false">INDEX($D$5:$D$11,MATCH(Assumptions!$B$13,$A$5:$A$11,0))-D10</f>
        <v>-1.699</v>
      </c>
      <c r="L10" s="29" t="n">
        <f aca="false">INDEX($E$5:$E$11,MATCH(Assumptions!$B$13,$A$5:$A$11,0))-E10</f>
        <v>-1.6</v>
      </c>
      <c r="M10" s="29" t="n">
        <f aca="false">INDEX($F$5:$F$11,MATCH(Assumptions!$B$13,$A$5:$A$11,0))-F10</f>
        <v>-0.699</v>
      </c>
      <c r="N10" s="27" t="n">
        <f aca="false">RANK(G10,$G$5:$G$11)</f>
        <v>7</v>
      </c>
    </row>
    <row r="11" customFormat="false" ht="15" hidden="false" customHeight="true" outlineLevel="0" collapsed="false">
      <c r="A11" s="8" t="s">
        <v>16</v>
      </c>
      <c r="B11" s="27" t="s">
        <v>136</v>
      </c>
      <c r="C11" s="28" t="n">
        <f aca="false">Assumptions!$B$6</f>
        <v>16.99</v>
      </c>
      <c r="D11" s="29" t="n">
        <f aca="false">Assumptions!$B$6*Assumptions!$B$26</f>
        <v>9.3445</v>
      </c>
      <c r="E11" s="29" t="n">
        <f aca="false">Assumptions!$B$28</f>
        <v>4</v>
      </c>
      <c r="F11" s="29" t="n">
        <f aca="false">0</f>
        <v>0</v>
      </c>
      <c r="G11" s="30" t="n">
        <f aca="false">C11-D11-E11-F11</f>
        <v>3.6455</v>
      </c>
      <c r="H11" s="31" t="n">
        <f aca="false">IFERROR(G11/C11,0)</f>
        <v>0.214567392583873</v>
      </c>
      <c r="I11" s="29" t="n">
        <f aca="false">G11-INDEX($G$5:$G$11,MATCH(Assumptions!$B$13,$A$5:$A$11,0))</f>
        <v>-3.1485</v>
      </c>
      <c r="J11" s="31" t="n">
        <f aca="false">IFERROR(I11/ABS(INDEX($G$5:$G$11,MATCH(Assumptions!$B$13,$A$5:$A$11,0))),0)</f>
        <v>-0.463423609066824</v>
      </c>
      <c r="K11" s="29" t="n">
        <f aca="false">INDEX($D$5:$D$11,MATCH(Assumptions!$B$13,$A$5:$A$11,0))-D11</f>
        <v>-2.5485</v>
      </c>
      <c r="L11" s="29" t="n">
        <f aca="false">INDEX($E$5:$E$11,MATCH(Assumptions!$B$13,$A$5:$A$11,0))-E11</f>
        <v>-0.6</v>
      </c>
      <c r="M11" s="29" t="n">
        <f aca="false">INDEX($F$5:$F$11,MATCH(Assumptions!$B$13,$A$5:$A$11,0))-F11</f>
        <v>0</v>
      </c>
      <c r="N11" s="27" t="n">
        <f aca="false">RANK(G11,$G$5:$G$11)</f>
        <v>4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true" outlineLevel="0" collapsed="false">
      <c r="A13" s="11" t="s">
        <v>137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true" outlineLevel="0" collapsed="false">
      <c r="A14" s="16" t="s">
        <v>138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true" outlineLevel="0" collapsed="false">
      <c r="A15" s="16" t="s">
        <v>139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true" outlineLevel="0" collapsed="false">
      <c r="A16" s="16" t="s">
        <v>140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true" outlineLevel="0" collapsed="false">
      <c r="A17" s="16" t="s">
        <v>141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true" outlineLevel="0" collapsed="false">
      <c r="A18" s="16" t="s">
        <v>142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5" min="3" style="1" width="11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2" min="11" style="1" width="12"/>
    <col collapsed="false" customWidth="true" hidden="false" outlineLevel="0" max="13" min="13" style="1" width="13"/>
    <col collapsed="false" customWidth="true" hidden="false" outlineLevel="0" max="14" min="14" style="1" width="7"/>
  </cols>
  <sheetData>
    <row r="1" customFormat="false" ht="17.25" hidden="false" customHeight="true" outlineLevel="0" collapsed="false">
      <c r="A1" s="13" t="s">
        <v>143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true" outlineLevel="0" collapsed="false">
      <c r="A2" s="4" t="str">
        <f aca="false">"Baseline: "&amp;Assumptions!$B$14&amp;"   |   Ebook price: "&amp;TEXT(Assumptions!$B$8,"$0.00")&amp;"   |   File size: "&amp;Assumptions!$B$9&amp;" MB"</f>
        <v>Baseline: Amazon KDP   |   Ebook price: $4.99   |   File size: 2 MB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1.5" hidden="false" customHeight="true" outlineLevel="0" collapsed="false">
      <c r="A4" s="7" t="s">
        <v>3</v>
      </c>
      <c r="B4" s="7" t="s">
        <v>144</v>
      </c>
      <c r="C4" s="7" t="s">
        <v>116</v>
      </c>
      <c r="D4" s="7" t="s">
        <v>145</v>
      </c>
      <c r="E4" s="7" t="s">
        <v>146</v>
      </c>
      <c r="F4" s="7" t="s">
        <v>147</v>
      </c>
      <c r="G4" s="7" t="s">
        <v>120</v>
      </c>
      <c r="H4" s="7" t="s">
        <v>121</v>
      </c>
      <c r="I4" s="7" t="s">
        <v>122</v>
      </c>
      <c r="J4" s="7" t="s">
        <v>123</v>
      </c>
      <c r="K4" s="7" t="s">
        <v>148</v>
      </c>
      <c r="L4" s="7" t="s">
        <v>149</v>
      </c>
      <c r="M4" s="7" t="s">
        <v>150</v>
      </c>
      <c r="N4" s="7" t="s">
        <v>11</v>
      </c>
    </row>
    <row r="5" customFormat="false" ht="15" hidden="false" customHeight="true" outlineLevel="0" collapsed="false">
      <c r="A5" s="8" t="s">
        <v>12</v>
      </c>
      <c r="B5" s="27" t="s">
        <v>151</v>
      </c>
      <c r="C5" s="28" t="n">
        <f aca="false">Assumptions!$B$8</f>
        <v>4.99</v>
      </c>
      <c r="D5" s="29" t="n">
        <f aca="false">(C5-E5)*(1-IF(AND(Assumptions!$B$8&gt;=2.99,Assumptions!$B$8&lt;=9.99),Assumptions!$B$22,Assumptions!$B$23))</f>
        <v>1.407</v>
      </c>
      <c r="E5" s="29" t="n">
        <f aca="false">IF(AND(Assumptions!$B$8&gt;=2.99,Assumptions!$B$8&lt;=9.99),Assumptions!$B$9*Assumptions!$B$24,0)</f>
        <v>0.3</v>
      </c>
      <c r="F5" s="29" t="n">
        <f aca="false">0</f>
        <v>0</v>
      </c>
      <c r="G5" s="30" t="n">
        <f aca="false">C5-D5-E5-F5</f>
        <v>3.283</v>
      </c>
      <c r="H5" s="31" t="n">
        <f aca="false">IFERROR(G5/C5,0)</f>
        <v>0.657915831663327</v>
      </c>
      <c r="I5" s="29" t="n">
        <f aca="false">G5-INDEX($G$5:$G$11,MATCH(Assumptions!$B$14,$A$5:$A$11,0))</f>
        <v>0</v>
      </c>
      <c r="J5" s="31" t="n">
        <f aca="false">IFERROR(I5/ABS(INDEX($G$5:$G$11,MATCH(Assumptions!$B$14,$A$5:$A$11,0))),0)</f>
        <v>0</v>
      </c>
      <c r="K5" s="29" t="n">
        <f aca="false">INDEX($D$5:$D$11,MATCH(Assumptions!$B$14,$A$5:$A$11,0))-D5</f>
        <v>0</v>
      </c>
      <c r="L5" s="29" t="n">
        <f aca="false">INDEX($E$5:$E$11,MATCH(Assumptions!$B$14,$A$5:$A$11,0))-E5</f>
        <v>0</v>
      </c>
      <c r="M5" s="29" t="n">
        <f aca="false">INDEX($F$5:$F$11,MATCH(Assumptions!$B$14,$A$5:$A$11,0))-F5</f>
        <v>0</v>
      </c>
      <c r="N5" s="27" t="n">
        <f aca="false">RANK(G5,$G$5:$G$11)</f>
        <v>4</v>
      </c>
    </row>
    <row r="6" customFormat="false" ht="15" hidden="false" customHeight="true" outlineLevel="0" collapsed="false">
      <c r="A6" s="8" t="s">
        <v>152</v>
      </c>
      <c r="B6" s="27" t="s">
        <v>153</v>
      </c>
      <c r="C6" s="28" t="n">
        <f aca="false">Assumptions!$B$8</f>
        <v>4.99</v>
      </c>
      <c r="D6" s="29" t="n">
        <f aca="false">C6*(1-Assumptions!$B$39)</f>
        <v>1.497</v>
      </c>
      <c r="E6" s="29" t="n">
        <f aca="false">0</f>
        <v>0</v>
      </c>
      <c r="F6" s="29" t="n">
        <f aca="false">0</f>
        <v>0</v>
      </c>
      <c r="G6" s="30" t="n">
        <f aca="false">C6-D6-E6-F6</f>
        <v>3.493</v>
      </c>
      <c r="H6" s="31" t="n">
        <f aca="false">IFERROR(G6/C6,0)</f>
        <v>0.7</v>
      </c>
      <c r="I6" s="29" t="n">
        <f aca="false">G6-INDEX($G$5:$G$11,MATCH(Assumptions!$B$14,$A$5:$A$11,0))</f>
        <v>0.21</v>
      </c>
      <c r="J6" s="31" t="n">
        <f aca="false">IFERROR(I6/ABS(INDEX($G$5:$G$11,MATCH(Assumptions!$B$14,$A$5:$A$11,0))),0)</f>
        <v>0.0639658848614071</v>
      </c>
      <c r="K6" s="29" t="n">
        <f aca="false">INDEX($D$5:$D$11,MATCH(Assumptions!$B$14,$A$5:$A$11,0))-D6</f>
        <v>-0.0900000000000001</v>
      </c>
      <c r="L6" s="29" t="n">
        <f aca="false">INDEX($E$5:$E$11,MATCH(Assumptions!$B$14,$A$5:$A$11,0))-E6</f>
        <v>0.3</v>
      </c>
      <c r="M6" s="29" t="n">
        <f aca="false">INDEX($F$5:$F$11,MATCH(Assumptions!$B$14,$A$5:$A$11,0))-F6</f>
        <v>0</v>
      </c>
      <c r="N6" s="27" t="n">
        <f aca="false">RANK(G6,$G$5:$G$11)</f>
        <v>1</v>
      </c>
    </row>
    <row r="7" customFormat="false" ht="15" hidden="false" customHeight="true" outlineLevel="0" collapsed="false">
      <c r="A7" s="8" t="s">
        <v>14</v>
      </c>
      <c r="B7" s="27" t="s">
        <v>154</v>
      </c>
      <c r="C7" s="28" t="n">
        <f aca="false">Assumptions!$B$8</f>
        <v>4.99</v>
      </c>
      <c r="D7" s="29" t="n">
        <f aca="false">C7*(1-Assumptions!$B$33)</f>
        <v>1.497</v>
      </c>
      <c r="E7" s="29" t="n">
        <f aca="false">0</f>
        <v>0</v>
      </c>
      <c r="F7" s="29" t="n">
        <f aca="false">0</f>
        <v>0</v>
      </c>
      <c r="G7" s="30" t="n">
        <f aca="false">C7-D7-E7-F7</f>
        <v>3.493</v>
      </c>
      <c r="H7" s="31" t="n">
        <f aca="false">IFERROR(G7/C7,0)</f>
        <v>0.7</v>
      </c>
      <c r="I7" s="29" t="n">
        <f aca="false">G7-INDEX($G$5:$G$11,MATCH(Assumptions!$B$14,$A$5:$A$11,0))</f>
        <v>0.21</v>
      </c>
      <c r="J7" s="31" t="n">
        <f aca="false">IFERROR(I7/ABS(INDEX($G$5:$G$11,MATCH(Assumptions!$B$14,$A$5:$A$11,0))),0)</f>
        <v>0.0639658848614071</v>
      </c>
      <c r="K7" s="29" t="n">
        <f aca="false">INDEX($D$5:$D$11,MATCH(Assumptions!$B$14,$A$5:$A$11,0))-D7</f>
        <v>-0.0900000000000001</v>
      </c>
      <c r="L7" s="29" t="n">
        <f aca="false">INDEX($E$5:$E$11,MATCH(Assumptions!$B$14,$A$5:$A$11,0))-E7</f>
        <v>0.3</v>
      </c>
      <c r="M7" s="29" t="n">
        <f aca="false">INDEX($F$5:$F$11,MATCH(Assumptions!$B$14,$A$5:$A$11,0))-F7</f>
        <v>0</v>
      </c>
      <c r="N7" s="27" t="n">
        <f aca="false">RANK(G7,$G$5:$G$11)</f>
        <v>1</v>
      </c>
    </row>
    <row r="8" customFormat="false" ht="15" hidden="false" customHeight="true" outlineLevel="0" collapsed="false">
      <c r="A8" s="8" t="s">
        <v>155</v>
      </c>
      <c r="B8" s="27" t="s">
        <v>156</v>
      </c>
      <c r="C8" s="28" t="n">
        <f aca="false">Assumptions!$B$8</f>
        <v>4.99</v>
      </c>
      <c r="D8" s="29" t="n">
        <f aca="false">C8*(1-Assumptions!$B$39)</f>
        <v>1.497</v>
      </c>
      <c r="E8" s="29" t="n">
        <f aca="false">0</f>
        <v>0</v>
      </c>
      <c r="F8" s="29" t="n">
        <f aca="false">(C8-D8)*Assumptions!$B$40</f>
        <v>0.3493</v>
      </c>
      <c r="G8" s="30" t="n">
        <f aca="false">C8-D8-E8-F8</f>
        <v>3.1437</v>
      </c>
      <c r="H8" s="31" t="n">
        <f aca="false">IFERROR(G8/C8,0)</f>
        <v>0.63</v>
      </c>
      <c r="I8" s="29" t="n">
        <f aca="false">G8-INDEX($G$5:$G$11,MATCH(Assumptions!$B$14,$A$5:$A$11,0))</f>
        <v>-0.1393</v>
      </c>
      <c r="J8" s="31" t="n">
        <f aca="false">IFERROR(I8/ABS(INDEX($G$5:$G$11,MATCH(Assumptions!$B$14,$A$5:$A$11,0))),0)</f>
        <v>-0.0424307036247336</v>
      </c>
      <c r="K8" s="29" t="n">
        <f aca="false">INDEX($D$5:$D$11,MATCH(Assumptions!$B$14,$A$5:$A$11,0))-D8</f>
        <v>-0.0900000000000001</v>
      </c>
      <c r="L8" s="29" t="n">
        <f aca="false">INDEX($E$5:$E$11,MATCH(Assumptions!$B$14,$A$5:$A$11,0))-E8</f>
        <v>0.3</v>
      </c>
      <c r="M8" s="29" t="n">
        <f aca="false">INDEX($F$5:$F$11,MATCH(Assumptions!$B$14,$A$5:$A$11,0))-F8</f>
        <v>-0.3493</v>
      </c>
      <c r="N8" s="27" t="n">
        <f aca="false">RANK(G8,$G$5:$G$11)</f>
        <v>5</v>
      </c>
    </row>
    <row r="9" customFormat="false" ht="15" hidden="false" customHeight="true" outlineLevel="0" collapsed="false">
      <c r="A9" s="8" t="s">
        <v>157</v>
      </c>
      <c r="B9" s="27" t="s">
        <v>158</v>
      </c>
      <c r="C9" s="28" t="n">
        <f aca="false">Assumptions!$B$8</f>
        <v>4.99</v>
      </c>
      <c r="D9" s="29" t="n">
        <f aca="false">C9*(1-Assumptions!$B$39)</f>
        <v>1.497</v>
      </c>
      <c r="E9" s="29" t="n">
        <f aca="false">0</f>
        <v>0</v>
      </c>
      <c r="F9" s="29" t="n">
        <f aca="false">(C9-D9)*Assumptions!$B$29</f>
        <v>0.52395</v>
      </c>
      <c r="G9" s="30" t="n">
        <f aca="false">C9-D9-E9-F9</f>
        <v>2.96905</v>
      </c>
      <c r="H9" s="31" t="n">
        <f aca="false">IFERROR(G9/C9,0)</f>
        <v>0.595</v>
      </c>
      <c r="I9" s="29" t="n">
        <f aca="false">G9-INDEX($G$5:$G$11,MATCH(Assumptions!$B$14,$A$5:$A$11,0))</f>
        <v>-0.31395</v>
      </c>
      <c r="J9" s="31" t="n">
        <f aca="false">IFERROR(I9/ABS(INDEX($G$5:$G$11,MATCH(Assumptions!$B$14,$A$5:$A$11,0))),0)</f>
        <v>-0.0956289978678039</v>
      </c>
      <c r="K9" s="29" t="n">
        <f aca="false">INDEX($D$5:$D$11,MATCH(Assumptions!$B$14,$A$5:$A$11,0))-D9</f>
        <v>-0.0900000000000001</v>
      </c>
      <c r="L9" s="29" t="n">
        <f aca="false">INDEX($E$5:$E$11,MATCH(Assumptions!$B$14,$A$5:$A$11,0))-E9</f>
        <v>0.3</v>
      </c>
      <c r="M9" s="29" t="n">
        <f aca="false">INDEX($F$5:$F$11,MATCH(Assumptions!$B$14,$A$5:$A$11,0))-F9</f>
        <v>-0.52395</v>
      </c>
      <c r="N9" s="27" t="n">
        <f aca="false">RANK(G9,$G$5:$G$11)</f>
        <v>6</v>
      </c>
    </row>
    <row r="10" customFormat="false" ht="15" hidden="false" customHeight="true" outlineLevel="0" collapsed="false">
      <c r="A10" s="8" t="s">
        <v>159</v>
      </c>
      <c r="B10" s="27" t="s">
        <v>160</v>
      </c>
      <c r="C10" s="28" t="n">
        <f aca="false">Assumptions!$B$8</f>
        <v>4.99</v>
      </c>
      <c r="D10" s="29" t="n">
        <f aca="false">C10*(1-Assumptions!$B$39)</f>
        <v>1.497</v>
      </c>
      <c r="E10" s="29" t="n">
        <f aca="false">0</f>
        <v>0</v>
      </c>
      <c r="F10" s="29" t="n">
        <f aca="false">0</f>
        <v>0</v>
      </c>
      <c r="G10" s="30" t="n">
        <f aca="false">C10-D10-E10-F10</f>
        <v>3.493</v>
      </c>
      <c r="H10" s="31" t="n">
        <f aca="false">IFERROR(G10/C10,0)</f>
        <v>0.7</v>
      </c>
      <c r="I10" s="29" t="n">
        <f aca="false">G10-INDEX($G$5:$G$11,MATCH(Assumptions!$B$14,$A$5:$A$11,0))</f>
        <v>0.21</v>
      </c>
      <c r="J10" s="31" t="n">
        <f aca="false">IFERROR(I10/ABS(INDEX($G$5:$G$11,MATCH(Assumptions!$B$14,$A$5:$A$11,0))),0)</f>
        <v>0.0639658848614071</v>
      </c>
      <c r="K10" s="29" t="n">
        <f aca="false">INDEX($D$5:$D$11,MATCH(Assumptions!$B$14,$A$5:$A$11,0))-D10</f>
        <v>-0.0900000000000001</v>
      </c>
      <c r="L10" s="29" t="n">
        <f aca="false">INDEX($E$5:$E$11,MATCH(Assumptions!$B$14,$A$5:$A$11,0))-E10</f>
        <v>0.3</v>
      </c>
      <c r="M10" s="29" t="n">
        <f aca="false">INDEX($F$5:$F$11,MATCH(Assumptions!$B$14,$A$5:$A$11,0))-F10</f>
        <v>0</v>
      </c>
      <c r="N10" s="27" t="n">
        <f aca="false">RANK(G10,$G$5:$G$11)</f>
        <v>1</v>
      </c>
    </row>
    <row r="11" customFormat="false" ht="15" hidden="false" customHeight="true" outlineLevel="0" collapsed="false">
      <c r="A11" s="8" t="s">
        <v>134</v>
      </c>
      <c r="B11" s="27" t="s">
        <v>161</v>
      </c>
      <c r="C11" s="28" t="n">
        <f aca="false">Assumptions!$B$8</f>
        <v>4.99</v>
      </c>
      <c r="D11" s="29" t="n">
        <f aca="false">C11*Assumptions!$B$36</f>
        <v>2.495</v>
      </c>
      <c r="E11" s="29" t="n">
        <f aca="false">0</f>
        <v>0</v>
      </c>
      <c r="F11" s="29" t="n">
        <f aca="false">(C11-D11)*Assumptions!$B$37</f>
        <v>0.499</v>
      </c>
      <c r="G11" s="30" t="n">
        <f aca="false">C11-D11-E11-F11</f>
        <v>1.996</v>
      </c>
      <c r="H11" s="31" t="n">
        <f aca="false">IFERROR(G11/C11,0)</f>
        <v>0.4</v>
      </c>
      <c r="I11" s="29" t="n">
        <f aca="false">G11-INDEX($G$5:$G$11,MATCH(Assumptions!$B$14,$A$5:$A$11,0))</f>
        <v>-1.287</v>
      </c>
      <c r="J11" s="31" t="n">
        <f aca="false">IFERROR(I11/ABS(INDEX($G$5:$G$11,MATCH(Assumptions!$B$14,$A$5:$A$11,0))),0)</f>
        <v>-0.39201949436491</v>
      </c>
      <c r="K11" s="29" t="n">
        <f aca="false">INDEX($D$5:$D$11,MATCH(Assumptions!$B$14,$A$5:$A$11,0))-D11</f>
        <v>-1.088</v>
      </c>
      <c r="L11" s="29" t="n">
        <f aca="false">INDEX($E$5:$E$11,MATCH(Assumptions!$B$14,$A$5:$A$11,0))-E11</f>
        <v>0.3</v>
      </c>
      <c r="M11" s="29" t="n">
        <f aca="false">INDEX($F$5:$F$11,MATCH(Assumptions!$B$14,$A$5:$A$11,0))-F11</f>
        <v>-0.499</v>
      </c>
      <c r="N11" s="27" t="n">
        <f aca="false">RANK(G11,$G$5:$G$11)</f>
        <v>7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true" outlineLevel="0" collapsed="false">
      <c r="A13" s="11" t="s">
        <v>162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true" outlineLevel="0" collapsed="false">
      <c r="A14" s="16" t="s">
        <v>163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true" outlineLevel="0" collapsed="false">
      <c r="A15" s="16" t="s">
        <v>164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true" outlineLevel="0" collapsed="false">
      <c r="A16" s="16" t="s">
        <v>165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true" outlineLevel="0" collapsed="false">
      <c r="A17" s="16" t="s">
        <v>166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2"/>
    <col collapsed="false" customWidth="true" hidden="false" outlineLevel="0" max="6" min="4" style="1" width="11"/>
    <col collapsed="false" customWidth="true" hidden="false" outlineLevel="0" max="9" min="7" style="1" width="13"/>
    <col collapsed="false" customWidth="true" hidden="false" outlineLevel="0" max="10" min="10" style="1" width="14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13" t="s">
        <v>167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168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1.5" hidden="false" customHeight="true" outlineLevel="0" collapsed="false">
      <c r="A4" s="7" t="s">
        <v>3</v>
      </c>
      <c r="B4" s="7" t="s">
        <v>169</v>
      </c>
      <c r="C4" s="7" t="s">
        <v>170</v>
      </c>
      <c r="D4" s="7" t="s">
        <v>171</v>
      </c>
      <c r="E4" s="7" t="s">
        <v>172</v>
      </c>
      <c r="F4" s="7" t="s">
        <v>173</v>
      </c>
      <c r="G4" s="7" t="s">
        <v>174</v>
      </c>
      <c r="H4" s="7" t="s">
        <v>175</v>
      </c>
      <c r="I4" s="7" t="s">
        <v>176</v>
      </c>
      <c r="J4" s="7" t="s">
        <v>177</v>
      </c>
      <c r="K4" s="7" t="s">
        <v>178</v>
      </c>
    </row>
    <row r="5" customFormat="false" ht="26.25" hidden="false" customHeight="true" outlineLevel="0" collapsed="false">
      <c r="A5" s="8" t="s">
        <v>12</v>
      </c>
      <c r="B5" s="32" t="n">
        <v>0</v>
      </c>
      <c r="C5" s="32" t="n">
        <v>0</v>
      </c>
      <c r="D5" s="28" t="n">
        <f aca="false">0</f>
        <v>0</v>
      </c>
      <c r="E5" s="28" t="n">
        <f aca="false">0</f>
        <v>0</v>
      </c>
      <c r="F5" s="28" t="n">
        <f aca="false">0</f>
        <v>0</v>
      </c>
      <c r="G5" s="29" t="n">
        <f aca="false">SUM(B5:F5)</f>
        <v>0</v>
      </c>
      <c r="H5" s="28" t="n">
        <f aca="false">0</f>
        <v>0</v>
      </c>
      <c r="I5" s="29" t="n">
        <f aca="false">H5*12</f>
        <v>0</v>
      </c>
      <c r="J5" s="30" t="n">
        <f aca="false">G5+I5</f>
        <v>0</v>
      </c>
      <c r="K5" s="33" t="s">
        <v>179</v>
      </c>
    </row>
    <row r="6" customFormat="false" ht="26.25" hidden="false" customHeight="true" outlineLevel="0" collapsed="false">
      <c r="A6" s="8" t="s">
        <v>13</v>
      </c>
      <c r="B6" s="32" t="n">
        <v>0</v>
      </c>
      <c r="C6" s="32" t="n">
        <v>0</v>
      </c>
      <c r="D6" s="28" t="n">
        <f aca="false">Assumptions!$B$42</f>
        <v>125</v>
      </c>
      <c r="E6" s="28" t="n">
        <f aca="false">0</f>
        <v>0</v>
      </c>
      <c r="F6" s="28" t="n">
        <f aca="false">0</f>
        <v>0</v>
      </c>
      <c r="G6" s="29" t="n">
        <f aca="false">SUM(B6:F6)</f>
        <v>125</v>
      </c>
      <c r="H6" s="28" t="n">
        <f aca="false">0</f>
        <v>0</v>
      </c>
      <c r="I6" s="29" t="n">
        <f aca="false">H6*12</f>
        <v>0</v>
      </c>
      <c r="J6" s="30" t="n">
        <f aca="false">G6+I6</f>
        <v>125</v>
      </c>
      <c r="K6" s="33" t="s">
        <v>180</v>
      </c>
    </row>
    <row r="7" customFormat="false" ht="26.25" hidden="false" customHeight="true" outlineLevel="0" collapsed="false">
      <c r="A7" s="8" t="s">
        <v>17</v>
      </c>
      <c r="B7" s="32" t="n">
        <v>0</v>
      </c>
      <c r="C7" s="32" t="n">
        <v>0</v>
      </c>
      <c r="D7" s="28" t="n">
        <f aca="false">0</f>
        <v>0</v>
      </c>
      <c r="E7" s="28" t="n">
        <f aca="false">Assumptions!$B$43</f>
        <v>20</v>
      </c>
      <c r="F7" s="28" t="n">
        <f aca="false">0</f>
        <v>0</v>
      </c>
      <c r="G7" s="29" t="n">
        <f aca="false">SUM(B7:F7)</f>
        <v>20</v>
      </c>
      <c r="H7" s="28" t="n">
        <f aca="false">0</f>
        <v>0</v>
      </c>
      <c r="I7" s="29" t="n">
        <f aca="false">H7*12</f>
        <v>0</v>
      </c>
      <c r="J7" s="30" t="n">
        <f aca="false">G7+I7</f>
        <v>20</v>
      </c>
      <c r="K7" s="33" t="s">
        <v>181</v>
      </c>
    </row>
    <row r="8" customFormat="false" ht="15" hidden="false" customHeight="true" outlineLevel="0" collapsed="false">
      <c r="A8" s="8" t="s">
        <v>14</v>
      </c>
      <c r="B8" s="32" t="n">
        <v>0</v>
      </c>
      <c r="C8" s="32" t="n">
        <v>0</v>
      </c>
      <c r="D8" s="28" t="n">
        <f aca="false">Assumptions!$B$42</f>
        <v>125</v>
      </c>
      <c r="E8" s="28" t="n">
        <f aca="false">0</f>
        <v>0</v>
      </c>
      <c r="F8" s="28" t="n">
        <f aca="false">0</f>
        <v>0</v>
      </c>
      <c r="G8" s="29" t="n">
        <f aca="false">SUM(B8:F8)</f>
        <v>125</v>
      </c>
      <c r="H8" s="28" t="n">
        <f aca="false">0</f>
        <v>0</v>
      </c>
      <c r="I8" s="29" t="n">
        <f aca="false">H8*12</f>
        <v>0</v>
      </c>
      <c r="J8" s="30" t="n">
        <f aca="false">G8+I8</f>
        <v>125</v>
      </c>
      <c r="K8" s="33" t="s">
        <v>182</v>
      </c>
    </row>
    <row r="9" customFormat="false" ht="15" hidden="false" customHeight="true" outlineLevel="0" collapsed="false">
      <c r="A9" s="8" t="s">
        <v>15</v>
      </c>
      <c r="B9" s="32" t="n">
        <v>0</v>
      </c>
      <c r="C9" s="32" t="n">
        <v>0</v>
      </c>
      <c r="D9" s="28" t="n">
        <f aca="false">0</f>
        <v>0</v>
      </c>
      <c r="E9" s="28" t="n">
        <f aca="false">0</f>
        <v>0</v>
      </c>
      <c r="F9" s="28" t="n">
        <f aca="false">Assumptions!$B$44</f>
        <v>12</v>
      </c>
      <c r="G9" s="29" t="n">
        <f aca="false">SUM(B9:F9)</f>
        <v>12</v>
      </c>
      <c r="H9" s="28" t="n">
        <f aca="false">0</f>
        <v>0</v>
      </c>
      <c r="I9" s="29" t="n">
        <f aca="false">H9*12</f>
        <v>0</v>
      </c>
      <c r="J9" s="30" t="n">
        <f aca="false">G9+I9</f>
        <v>12</v>
      </c>
      <c r="K9" s="33" t="s">
        <v>183</v>
      </c>
    </row>
    <row r="10" customFormat="false" ht="26.25" hidden="false" customHeight="true" outlineLevel="0" collapsed="false">
      <c r="A10" s="8" t="s">
        <v>16</v>
      </c>
      <c r="B10" s="32" t="n">
        <v>0</v>
      </c>
      <c r="C10" s="32" t="n">
        <v>0</v>
      </c>
      <c r="D10" s="28" t="n">
        <f aca="false">Assumptions!$B$42</f>
        <v>125</v>
      </c>
      <c r="E10" s="28" t="n">
        <f aca="false">0</f>
        <v>0</v>
      </c>
      <c r="F10" s="28" t="n">
        <f aca="false">0</f>
        <v>0</v>
      </c>
      <c r="G10" s="29" t="n">
        <f aca="false">SUM(B10:F10)</f>
        <v>125</v>
      </c>
      <c r="H10" s="28" t="n">
        <f aca="false">Assumptions!$B$45</f>
        <v>13.99</v>
      </c>
      <c r="I10" s="29" t="n">
        <f aca="false">H10*12</f>
        <v>167.88</v>
      </c>
      <c r="J10" s="30" t="n">
        <f aca="false">G10+I10</f>
        <v>292.88</v>
      </c>
      <c r="K10" s="3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4"/>
    <col collapsed="false" customWidth="true" hidden="false" outlineLevel="0" max="5" min="4" style="1" width="12"/>
    <col collapsed="false" customWidth="true" hidden="false" outlineLevel="0" max="7" min="6" style="1" width="11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2" min="11" style="1" width="13"/>
    <col collapsed="false" customWidth="true" hidden="false" outlineLevel="0" max="14" min="13" style="1" width="15"/>
    <col collapsed="false" customWidth="true" hidden="false" outlineLevel="0" max="15" min="15" style="1" width="7"/>
  </cols>
  <sheetData>
    <row r="1" customFormat="false" ht="17.25" hidden="false" customHeight="true" outlineLevel="0" collapsed="false">
      <c r="A1" s="13" t="s">
        <v>185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true" outlineLevel="0" collapsed="false">
      <c r="A2" s="4" t="str">
        <f aca="false">"Volume: "&amp;Assumptions!$B$10&amp;" print + "&amp;Assumptions!$B$11&amp;" ebook units per month per platform   |   Baseline: "&amp;Assumptions!$B$15</f>
        <v>Volume: 50 print + 50 ebook units per month per platform   |   Baseline: Amazon KDP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A4" s="7" t="s">
        <v>3</v>
      </c>
      <c r="B4" s="7" t="s">
        <v>186</v>
      </c>
      <c r="C4" s="7" t="s">
        <v>187</v>
      </c>
      <c r="D4" s="7" t="s">
        <v>4</v>
      </c>
      <c r="E4" s="7" t="s">
        <v>6</v>
      </c>
      <c r="F4" s="7" t="s">
        <v>188</v>
      </c>
      <c r="G4" s="7" t="s">
        <v>189</v>
      </c>
      <c r="H4" s="7" t="s">
        <v>190</v>
      </c>
      <c r="I4" s="7" t="s">
        <v>175</v>
      </c>
      <c r="J4" s="7" t="s">
        <v>191</v>
      </c>
      <c r="K4" s="7" t="s">
        <v>192</v>
      </c>
      <c r="L4" s="7" t="s">
        <v>193</v>
      </c>
      <c r="M4" s="7" t="s">
        <v>9</v>
      </c>
      <c r="N4" s="7" t="s">
        <v>194</v>
      </c>
      <c r="O4" s="7" t="s">
        <v>11</v>
      </c>
    </row>
    <row r="5" customFormat="false" ht="15" hidden="false" customHeight="true" outlineLevel="0" collapsed="false">
      <c r="A5" s="8" t="s">
        <v>12</v>
      </c>
      <c r="B5" s="20" t="s">
        <v>12</v>
      </c>
      <c r="C5" s="20" t="s">
        <v>12</v>
      </c>
      <c r="D5" s="28" t="n">
        <f aca="false">INDEX('Print Unit Econ'!$G$5:$G$11,MATCH(B5,'Print Unit Econ'!$A$5:$A$11,0))</f>
        <v>6.794</v>
      </c>
      <c r="E5" s="28" t="n">
        <f aca="false">INDEX('Ebook Unit Econ'!$G$5:$G$11,MATCH(C5,'Ebook Unit Econ'!$A$5:$A$11,0))</f>
        <v>3.283</v>
      </c>
      <c r="F5" s="34" t="n">
        <f aca="false">Assumptions!$B$10</f>
        <v>50</v>
      </c>
      <c r="G5" s="34" t="n">
        <f aca="false">Assumptions!$B$11</f>
        <v>50</v>
      </c>
      <c r="H5" s="29" t="n">
        <f aca="false">D5*F5+E5*G5</f>
        <v>503.85</v>
      </c>
      <c r="I5" s="28" t="n">
        <f aca="false">INDEX('Fixed Costs'!$H$5:$H$10,MATCH(A5,'Fixed Costs'!$A$5:$A$10,0))</f>
        <v>0</v>
      </c>
      <c r="J5" s="29" t="n">
        <f aca="false">H5-I5</f>
        <v>503.85</v>
      </c>
      <c r="K5" s="29" t="n">
        <f aca="false">J5*12</f>
        <v>6046.2</v>
      </c>
      <c r="L5" s="28" t="n">
        <f aca="false">INDEX('Fixed Costs'!$G$5:$G$10,MATCH(A5,'Fixed Costs'!$A$5:$A$10,0))</f>
        <v>0</v>
      </c>
      <c r="M5" s="30" t="n">
        <f aca="false">K5-L5</f>
        <v>6046.2</v>
      </c>
      <c r="N5" s="29" t="n">
        <f aca="false">M5-INDEX($M$5:$M$10,MATCH(Assumptions!$B$15,$A$5:$A$10,0))</f>
        <v>0</v>
      </c>
      <c r="O5" s="27" t="n">
        <f aca="false">RANK(M5,$M$5:$M$10)</f>
        <v>1</v>
      </c>
    </row>
    <row r="6" customFormat="false" ht="15" hidden="false" customHeight="true" outlineLevel="0" collapsed="false">
      <c r="A6" s="8" t="s">
        <v>13</v>
      </c>
      <c r="B6" s="20" t="s">
        <v>13</v>
      </c>
      <c r="C6" s="20" t="s">
        <v>157</v>
      </c>
      <c r="D6" s="28" t="n">
        <f aca="false">INDEX('Print Unit Econ'!$G$5:$G$11,MATCH(B6,'Print Unit Econ'!$A$5:$A$11,0))</f>
        <v>3.3269375</v>
      </c>
      <c r="E6" s="28" t="n">
        <f aca="false">INDEX('Ebook Unit Econ'!$G$5:$G$11,MATCH(C6,'Ebook Unit Econ'!$A$5:$A$11,0))</f>
        <v>2.96905</v>
      </c>
      <c r="F6" s="34" t="n">
        <f aca="false">Assumptions!$B$10</f>
        <v>50</v>
      </c>
      <c r="G6" s="34" t="n">
        <f aca="false">Assumptions!$B$11</f>
        <v>50</v>
      </c>
      <c r="H6" s="29" t="n">
        <f aca="false">D6*F6+E6*G6</f>
        <v>314.799375</v>
      </c>
      <c r="I6" s="28" t="n">
        <f aca="false">INDEX('Fixed Costs'!$H$5:$H$10,MATCH(A6,'Fixed Costs'!$A$5:$A$10,0))</f>
        <v>0</v>
      </c>
      <c r="J6" s="29" t="n">
        <f aca="false">H6-I6</f>
        <v>314.799375</v>
      </c>
      <c r="K6" s="29" t="n">
        <f aca="false">J6*12</f>
        <v>3777.5925</v>
      </c>
      <c r="L6" s="28" t="n">
        <f aca="false">INDEX('Fixed Costs'!$G$5:$G$10,MATCH(A6,'Fixed Costs'!$A$5:$A$10,0))</f>
        <v>125</v>
      </c>
      <c r="M6" s="30" t="n">
        <f aca="false">K6-L6</f>
        <v>3652.5925</v>
      </c>
      <c r="N6" s="29" t="n">
        <f aca="false">M6-INDEX($M$5:$M$10,MATCH(Assumptions!$B$15,$A$5:$A$10,0))</f>
        <v>-2393.6075</v>
      </c>
      <c r="O6" s="27" t="n">
        <f aca="false">RANK(M6,$M$5:$M$10)</f>
        <v>4</v>
      </c>
    </row>
    <row r="7" customFormat="false" ht="15" hidden="false" customHeight="true" outlineLevel="0" collapsed="false">
      <c r="A7" s="8" t="s">
        <v>14</v>
      </c>
      <c r="B7" s="20" t="s">
        <v>14</v>
      </c>
      <c r="C7" s="20" t="s">
        <v>14</v>
      </c>
      <c r="D7" s="28" t="n">
        <f aca="false">INDEX('Print Unit Econ'!$G$5:$G$11,MATCH(B7,'Print Unit Econ'!$A$5:$A$11,0))</f>
        <v>5.8445</v>
      </c>
      <c r="E7" s="28" t="n">
        <f aca="false">INDEX('Ebook Unit Econ'!$G$5:$G$11,MATCH(C7,'Ebook Unit Econ'!$A$5:$A$11,0))</f>
        <v>3.493</v>
      </c>
      <c r="F7" s="34" t="n">
        <f aca="false">Assumptions!$B$10</f>
        <v>50</v>
      </c>
      <c r="G7" s="34" t="n">
        <f aca="false">Assumptions!$B$11</f>
        <v>50</v>
      </c>
      <c r="H7" s="29" t="n">
        <f aca="false">D7*F7+E7*G7</f>
        <v>466.875</v>
      </c>
      <c r="I7" s="28" t="n">
        <f aca="false">INDEX('Fixed Costs'!$H$5:$H$10,MATCH(A7,'Fixed Costs'!$A$5:$A$10,0))</f>
        <v>0</v>
      </c>
      <c r="J7" s="29" t="n">
        <f aca="false">H7-I7</f>
        <v>466.875</v>
      </c>
      <c r="K7" s="29" t="n">
        <f aca="false">J7*12</f>
        <v>5602.5</v>
      </c>
      <c r="L7" s="28" t="n">
        <f aca="false">INDEX('Fixed Costs'!$G$5:$G$10,MATCH(A7,'Fixed Costs'!$A$5:$A$10,0))</f>
        <v>125</v>
      </c>
      <c r="M7" s="30" t="n">
        <f aca="false">K7-L7</f>
        <v>5477.5</v>
      </c>
      <c r="N7" s="29" t="n">
        <f aca="false">M7-INDEX($M$5:$M$10,MATCH(Assumptions!$B$15,$A$5:$A$10,0))</f>
        <v>-568.699999999999</v>
      </c>
      <c r="O7" s="27" t="n">
        <f aca="false">RANK(M7,$M$5:$M$10)</f>
        <v>2</v>
      </c>
    </row>
    <row r="8" customFormat="false" ht="15" hidden="false" customHeight="true" outlineLevel="0" collapsed="false">
      <c r="A8" s="8" t="s">
        <v>15</v>
      </c>
      <c r="B8" s="20" t="s">
        <v>134</v>
      </c>
      <c r="C8" s="20" t="s">
        <v>134</v>
      </c>
      <c r="D8" s="28" t="n">
        <f aca="false">INDEX('Print Unit Econ'!$G$5:$G$11,MATCH(B8,'Print Unit Econ'!$A$5:$A$11,0))</f>
        <v>2.796</v>
      </c>
      <c r="E8" s="28" t="n">
        <f aca="false">INDEX('Ebook Unit Econ'!$G$5:$G$11,MATCH(C8,'Ebook Unit Econ'!$A$5:$A$11,0))</f>
        <v>1.996</v>
      </c>
      <c r="F8" s="34" t="n">
        <f aca="false">Assumptions!$B$10</f>
        <v>50</v>
      </c>
      <c r="G8" s="34" t="n">
        <f aca="false">Assumptions!$B$11</f>
        <v>50</v>
      </c>
      <c r="H8" s="29" t="n">
        <f aca="false">D8*F8+E8*G8</f>
        <v>239.6</v>
      </c>
      <c r="I8" s="28" t="n">
        <f aca="false">INDEX('Fixed Costs'!$H$5:$H$10,MATCH(A8,'Fixed Costs'!$A$5:$A$10,0))</f>
        <v>0</v>
      </c>
      <c r="J8" s="29" t="n">
        <f aca="false">H8-I8</f>
        <v>239.6</v>
      </c>
      <c r="K8" s="29" t="n">
        <f aca="false">J8*12</f>
        <v>2875.2</v>
      </c>
      <c r="L8" s="28" t="n">
        <f aca="false">INDEX('Fixed Costs'!$G$5:$G$10,MATCH(A8,'Fixed Costs'!$A$5:$A$10,0))</f>
        <v>12</v>
      </c>
      <c r="M8" s="30" t="n">
        <f aca="false">K8-L8</f>
        <v>2863.2</v>
      </c>
      <c r="N8" s="29" t="n">
        <f aca="false">M8-INDEX($M$5:$M$10,MATCH(Assumptions!$B$15,$A$5:$A$10,0))</f>
        <v>-3183</v>
      </c>
      <c r="O8" s="27" t="n">
        <f aca="false">RANK(M8,$M$5:$M$10)</f>
        <v>5</v>
      </c>
    </row>
    <row r="9" customFormat="false" ht="15" hidden="false" customHeight="true" outlineLevel="0" collapsed="false">
      <c r="A9" s="8" t="s">
        <v>16</v>
      </c>
      <c r="B9" s="20" t="s">
        <v>16</v>
      </c>
      <c r="C9" s="20" t="s">
        <v>159</v>
      </c>
      <c r="D9" s="28" t="n">
        <f aca="false">INDEX('Print Unit Econ'!$G$5:$G$11,MATCH(B9,'Print Unit Econ'!$A$5:$A$11,0))</f>
        <v>3.6455</v>
      </c>
      <c r="E9" s="28" t="n">
        <f aca="false">INDEX('Ebook Unit Econ'!$G$5:$G$11,MATCH(C9,'Ebook Unit Econ'!$A$5:$A$11,0))</f>
        <v>3.493</v>
      </c>
      <c r="F9" s="34" t="n">
        <f aca="false">Assumptions!$B$10</f>
        <v>50</v>
      </c>
      <c r="G9" s="34" t="n">
        <f aca="false">Assumptions!$B$11</f>
        <v>50</v>
      </c>
      <c r="H9" s="29" t="n">
        <f aca="false">D9*F9+E9*G9</f>
        <v>356.925</v>
      </c>
      <c r="I9" s="28" t="n">
        <f aca="false">INDEX('Fixed Costs'!$H$5:$H$10,MATCH(A9,'Fixed Costs'!$A$5:$A$10,0))</f>
        <v>13.99</v>
      </c>
      <c r="J9" s="29" t="n">
        <f aca="false">H9-I9</f>
        <v>342.935</v>
      </c>
      <c r="K9" s="29" t="n">
        <f aca="false">J9*12</f>
        <v>4115.22</v>
      </c>
      <c r="L9" s="28" t="n">
        <f aca="false">INDEX('Fixed Costs'!$G$5:$G$10,MATCH(A9,'Fixed Costs'!$A$5:$A$10,0))</f>
        <v>125</v>
      </c>
      <c r="M9" s="30" t="n">
        <f aca="false">K9-L9</f>
        <v>3990.22</v>
      </c>
      <c r="N9" s="29" t="n">
        <f aca="false">M9-INDEX($M$5:$M$10,MATCH(Assumptions!$B$15,$A$5:$A$10,0))</f>
        <v>-2055.98</v>
      </c>
      <c r="O9" s="27" t="n">
        <f aca="false">RANK(M9,$M$5:$M$10)</f>
        <v>3</v>
      </c>
    </row>
    <row r="10" customFormat="false" ht="15" hidden="false" customHeight="true" outlineLevel="0" collapsed="false">
      <c r="A10" s="8" t="s">
        <v>17</v>
      </c>
      <c r="B10" s="20" t="s">
        <v>195</v>
      </c>
      <c r="C10" s="20" t="s">
        <v>155</v>
      </c>
      <c r="D10" s="32" t="n">
        <v>0</v>
      </c>
      <c r="E10" s="28" t="n">
        <f aca="false">INDEX('Ebook Unit Econ'!$G$5:$G$11,MATCH(C10,'Ebook Unit Econ'!$A$5:$A$11,0))</f>
        <v>3.1437</v>
      </c>
      <c r="F10" s="20" t="n">
        <v>0</v>
      </c>
      <c r="G10" s="34" t="n">
        <f aca="false">Assumptions!$B$11</f>
        <v>50</v>
      </c>
      <c r="H10" s="29" t="n">
        <f aca="false">D10*F10+E10*G10</f>
        <v>157.185</v>
      </c>
      <c r="I10" s="28" t="n">
        <f aca="false">INDEX('Fixed Costs'!$H$5:$H$10,MATCH(A10,'Fixed Costs'!$A$5:$A$10,0))</f>
        <v>0</v>
      </c>
      <c r="J10" s="29" t="n">
        <f aca="false">H10-I10</f>
        <v>157.185</v>
      </c>
      <c r="K10" s="29" t="n">
        <f aca="false">J10*12</f>
        <v>1886.22</v>
      </c>
      <c r="L10" s="28" t="n">
        <f aca="false">INDEX('Fixed Costs'!$G$5:$G$10,MATCH(A10,'Fixed Costs'!$A$5:$A$10,0))</f>
        <v>20</v>
      </c>
      <c r="M10" s="30" t="n">
        <f aca="false">K10-L10</f>
        <v>1866.22</v>
      </c>
      <c r="N10" s="29" t="n">
        <f aca="false">M10-INDEX($M$5:$M$10,MATCH(Assumptions!$B$15,$A$5:$A$10,0))</f>
        <v>-4179.98</v>
      </c>
      <c r="O10" s="27" t="n">
        <f aca="false">RANK(M10,$M$5:$M$10)</f>
        <v>6</v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true" outlineLevel="0" collapsed="false">
      <c r="A12" s="11" t="s">
        <v>162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true" outlineLevel="0" collapsed="false">
      <c r="A13" s="16" t="s">
        <v>196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true" outlineLevel="0" collapsed="false">
      <c r="A14" s="16" t="s">
        <v>197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true" outlineLevel="0" collapsed="false">
      <c r="A15" s="16" t="s">
        <v>198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13" t="s">
        <v>199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4" t="s">
        <v>200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31.5" hidden="false" customHeight="true" outlineLevel="0" collapsed="false">
      <c r="A4" s="7" t="s">
        <v>3</v>
      </c>
      <c r="B4" s="7" t="s">
        <v>201</v>
      </c>
      <c r="C4" s="7" t="s">
        <v>202</v>
      </c>
      <c r="D4" s="7" t="s">
        <v>203</v>
      </c>
      <c r="E4" s="7" t="s">
        <v>204</v>
      </c>
      <c r="F4" s="7" t="s">
        <v>205</v>
      </c>
      <c r="G4" s="7" t="s">
        <v>206</v>
      </c>
    </row>
    <row r="5" customFormat="false" ht="15" hidden="false" customHeight="true" outlineLevel="0" collapsed="false">
      <c r="A5" s="11" t="s">
        <v>207</v>
      </c>
      <c r="B5" s="20" t="n">
        <v>10</v>
      </c>
      <c r="C5" s="20" t="n">
        <v>25</v>
      </c>
      <c r="D5" s="20" t="n">
        <v>50</v>
      </c>
      <c r="E5" s="20" t="n">
        <v>100</v>
      </c>
      <c r="F5" s="20" t="n">
        <v>250</v>
      </c>
      <c r="G5" s="20" t="n">
        <v>500</v>
      </c>
    </row>
    <row r="6" customFormat="false" ht="15" hidden="false" customHeight="true" outlineLevel="0" collapsed="false">
      <c r="A6" s="8" t="s">
        <v>12</v>
      </c>
      <c r="B6" s="35" t="n">
        <f aca="false">B$5*('Monthly Scenario'!$D$5+'Monthly Scenario'!$E$5)-'Monthly Scenario'!$I$5</f>
        <v>100.77</v>
      </c>
      <c r="C6" s="35" t="n">
        <f aca="false">C$5*('Monthly Scenario'!$D$5+'Monthly Scenario'!$E$5)-'Monthly Scenario'!$I$5</f>
        <v>251.925</v>
      </c>
      <c r="D6" s="35" t="n">
        <f aca="false">D$5*('Monthly Scenario'!$D$5+'Monthly Scenario'!$E$5)-'Monthly Scenario'!$I$5</f>
        <v>503.85</v>
      </c>
      <c r="E6" s="35" t="n">
        <f aca="false">E$5*('Monthly Scenario'!$D$5+'Monthly Scenario'!$E$5)-'Monthly Scenario'!$I$5</f>
        <v>1007.7</v>
      </c>
      <c r="F6" s="35" t="n">
        <f aca="false">F$5*('Monthly Scenario'!$D$5+'Monthly Scenario'!$E$5)-'Monthly Scenario'!$I$5</f>
        <v>2519.25</v>
      </c>
      <c r="G6" s="35" t="n">
        <f aca="false">G$5*('Monthly Scenario'!$D$5+'Monthly Scenario'!$E$5)-'Monthly Scenario'!$I$5</f>
        <v>5038.5</v>
      </c>
    </row>
    <row r="7" customFormat="false" ht="15" hidden="false" customHeight="true" outlineLevel="0" collapsed="false">
      <c r="A7" s="8" t="s">
        <v>13</v>
      </c>
      <c r="B7" s="35" t="n">
        <f aca="false">B$5*('Monthly Scenario'!$D$6+'Monthly Scenario'!$E$6)-'Monthly Scenario'!$I$6</f>
        <v>62.959875</v>
      </c>
      <c r="C7" s="35" t="n">
        <f aca="false">C$5*('Monthly Scenario'!$D$6+'Monthly Scenario'!$E$6)-'Monthly Scenario'!$I$6</f>
        <v>157.3996875</v>
      </c>
      <c r="D7" s="35" t="n">
        <f aca="false">D$5*('Monthly Scenario'!$D$6+'Monthly Scenario'!$E$6)-'Monthly Scenario'!$I$6</f>
        <v>314.799375</v>
      </c>
      <c r="E7" s="35" t="n">
        <f aca="false">E$5*('Monthly Scenario'!$D$6+'Monthly Scenario'!$E$6)-'Monthly Scenario'!$I$6</f>
        <v>629.59875</v>
      </c>
      <c r="F7" s="35" t="n">
        <f aca="false">F$5*('Monthly Scenario'!$D$6+'Monthly Scenario'!$E$6)-'Monthly Scenario'!$I$6</f>
        <v>1573.996875</v>
      </c>
      <c r="G7" s="35" t="n">
        <f aca="false">G$5*('Monthly Scenario'!$D$6+'Monthly Scenario'!$E$6)-'Monthly Scenario'!$I$6</f>
        <v>3147.99375</v>
      </c>
    </row>
    <row r="8" customFormat="false" ht="15" hidden="false" customHeight="true" outlineLevel="0" collapsed="false">
      <c r="A8" s="8" t="s">
        <v>14</v>
      </c>
      <c r="B8" s="35" t="n">
        <f aca="false">B$5*('Monthly Scenario'!$D$7+'Monthly Scenario'!$E$7)-'Monthly Scenario'!$I$7</f>
        <v>93.375</v>
      </c>
      <c r="C8" s="35" t="n">
        <f aca="false">C$5*('Monthly Scenario'!$D$7+'Monthly Scenario'!$E$7)-'Monthly Scenario'!$I$7</f>
        <v>233.4375</v>
      </c>
      <c r="D8" s="35" t="n">
        <f aca="false">D$5*('Monthly Scenario'!$D$7+'Monthly Scenario'!$E$7)-'Monthly Scenario'!$I$7</f>
        <v>466.875</v>
      </c>
      <c r="E8" s="35" t="n">
        <f aca="false">E$5*('Monthly Scenario'!$D$7+'Monthly Scenario'!$E$7)-'Monthly Scenario'!$I$7</f>
        <v>933.75</v>
      </c>
      <c r="F8" s="35" t="n">
        <f aca="false">F$5*('Monthly Scenario'!$D$7+'Monthly Scenario'!$E$7)-'Monthly Scenario'!$I$7</f>
        <v>2334.375</v>
      </c>
      <c r="G8" s="35" t="n">
        <f aca="false">G$5*('Monthly Scenario'!$D$7+'Monthly Scenario'!$E$7)-'Monthly Scenario'!$I$7</f>
        <v>4668.75</v>
      </c>
    </row>
    <row r="9" customFormat="false" ht="15" hidden="false" customHeight="true" outlineLevel="0" collapsed="false">
      <c r="A9" s="8" t="s">
        <v>15</v>
      </c>
      <c r="B9" s="35" t="n">
        <f aca="false">B$5*('Monthly Scenario'!$D$8+'Monthly Scenario'!$E$8)-'Monthly Scenario'!$I$8</f>
        <v>47.92</v>
      </c>
      <c r="C9" s="35" t="n">
        <f aca="false">C$5*('Monthly Scenario'!$D$8+'Monthly Scenario'!$E$8)-'Monthly Scenario'!$I$8</f>
        <v>119.8</v>
      </c>
      <c r="D9" s="35" t="n">
        <f aca="false">D$5*('Monthly Scenario'!$D$8+'Monthly Scenario'!$E$8)-'Monthly Scenario'!$I$8</f>
        <v>239.6</v>
      </c>
      <c r="E9" s="35" t="n">
        <f aca="false">E$5*('Monthly Scenario'!$D$8+'Monthly Scenario'!$E$8)-'Monthly Scenario'!$I$8</f>
        <v>479.2</v>
      </c>
      <c r="F9" s="35" t="n">
        <f aca="false">F$5*('Monthly Scenario'!$D$8+'Monthly Scenario'!$E$8)-'Monthly Scenario'!$I$8</f>
        <v>1198</v>
      </c>
      <c r="G9" s="35" t="n">
        <f aca="false">G$5*('Monthly Scenario'!$D$8+'Monthly Scenario'!$E$8)-'Monthly Scenario'!$I$8</f>
        <v>2396</v>
      </c>
    </row>
    <row r="10" customFormat="false" ht="15" hidden="false" customHeight="true" outlineLevel="0" collapsed="false">
      <c r="A10" s="8" t="s">
        <v>16</v>
      </c>
      <c r="B10" s="35" t="n">
        <f aca="false">B$5*('Monthly Scenario'!$D$9+'Monthly Scenario'!$E$9)-'Monthly Scenario'!$I$9</f>
        <v>57.395</v>
      </c>
      <c r="C10" s="35" t="n">
        <f aca="false">C$5*('Monthly Scenario'!$D$9+'Monthly Scenario'!$E$9)-'Monthly Scenario'!$I$9</f>
        <v>164.4725</v>
      </c>
      <c r="D10" s="35" t="n">
        <f aca="false">D$5*('Monthly Scenario'!$D$9+'Monthly Scenario'!$E$9)-'Monthly Scenario'!$I$9</f>
        <v>342.935</v>
      </c>
      <c r="E10" s="35" t="n">
        <f aca="false">E$5*('Monthly Scenario'!$D$9+'Monthly Scenario'!$E$9)-'Monthly Scenario'!$I$9</f>
        <v>699.86</v>
      </c>
      <c r="F10" s="35" t="n">
        <f aca="false">F$5*('Monthly Scenario'!$D$9+'Monthly Scenario'!$E$9)-'Monthly Scenario'!$I$9</f>
        <v>1770.635</v>
      </c>
      <c r="G10" s="35" t="n">
        <f aca="false">G$5*('Monthly Scenario'!$D$9+'Monthly Scenario'!$E$9)-'Monthly Scenario'!$I$9</f>
        <v>3555.26</v>
      </c>
    </row>
    <row r="11" customFormat="false" ht="15" hidden="false" customHeight="true" outlineLevel="0" collapsed="false">
      <c r="A11" s="8" t="s">
        <v>17</v>
      </c>
      <c r="B11" s="35" t="n">
        <f aca="false">B$5*('Monthly Scenario'!$D$10+'Monthly Scenario'!$E$10)-'Monthly Scenario'!$I$10</f>
        <v>31.437</v>
      </c>
      <c r="C11" s="35" t="n">
        <f aca="false">C$5*('Monthly Scenario'!$D$10+'Monthly Scenario'!$E$10)-'Monthly Scenario'!$I$10</f>
        <v>78.5925</v>
      </c>
      <c r="D11" s="35" t="n">
        <f aca="false">D$5*('Monthly Scenario'!$D$10+'Monthly Scenario'!$E$10)-'Monthly Scenario'!$I$10</f>
        <v>157.185</v>
      </c>
      <c r="E11" s="35" t="n">
        <f aca="false">E$5*('Monthly Scenario'!$D$10+'Monthly Scenario'!$E$10)-'Monthly Scenario'!$I$10</f>
        <v>314.37</v>
      </c>
      <c r="F11" s="35" t="n">
        <f aca="false">F$5*('Monthly Scenario'!$D$10+'Monthly Scenario'!$E$10)-'Monthly Scenario'!$I$10</f>
        <v>785.925</v>
      </c>
      <c r="G11" s="35" t="n">
        <f aca="false">G$5*('Monthly Scenario'!$D$10+'Monthly Scenario'!$E$10)-'Monthly Scenario'!$I$10</f>
        <v>1571.85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true" outlineLevel="0" collapsed="false">
      <c r="A13" s="14" t="s">
        <v>208</v>
      </c>
      <c r="B13" s="3"/>
      <c r="C13" s="3"/>
      <c r="D13" s="3"/>
      <c r="E13" s="3"/>
      <c r="F13" s="3"/>
      <c r="G13" s="3"/>
    </row>
    <row r="14" customFormat="false" ht="30" hidden="false" customHeight="true" outlineLevel="0" collapsed="false">
      <c r="A14" s="36" t="s">
        <v>209</v>
      </c>
      <c r="B14" s="36"/>
      <c r="C14" s="36"/>
      <c r="D14" s="36"/>
      <c r="E14" s="37" t="n">
        <f aca="false">IFERROR('Monthly Scenario'!I9/(('Monthly Scenario'!D9+'Monthly Scenario'!E9)-('Monthly Scenario'!D6+'Monthly Scenario'!E6)),"n/a")</f>
        <v>16.6050948798979</v>
      </c>
      <c r="F14" s="3"/>
      <c r="G14" s="3"/>
    </row>
    <row r="15" customFormat="false" ht="30" hidden="false" customHeight="true" outlineLevel="0" collapsed="false">
      <c r="A15" s="36" t="s">
        <v>210</v>
      </c>
      <c r="B15" s="36"/>
      <c r="C15" s="36"/>
      <c r="D15" s="36"/>
      <c r="E15" s="37" t="n">
        <f aca="false">IFERROR('Monthly Scenario'!I9/('Monthly Scenario'!E9-'Monthly Scenario'!E10),"n/a")</f>
        <v>40.051531634698</v>
      </c>
      <c r="F15" s="3"/>
      <c r="G15" s="3"/>
    </row>
  </sheetData>
  <mergeCells count="2"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48"/>
    <col collapsed="false" customWidth="true" hidden="false" outlineLevel="0" max="3" min="3" style="1" width="95"/>
  </cols>
  <sheetData>
    <row r="1" customFormat="false" ht="17.25" hidden="false" customHeight="true" outlineLevel="0" collapsed="false">
      <c r="A1" s="13" t="s">
        <v>211</v>
      </c>
      <c r="B1" s="3"/>
      <c r="C1" s="3"/>
    </row>
    <row r="2" customFormat="false" ht="15" hidden="false" customHeight="true" outlineLevel="0" collapsed="false">
      <c r="A2" s="3"/>
      <c r="B2" s="3"/>
      <c r="C2" s="3"/>
    </row>
    <row r="3" customFormat="false" ht="31.5" hidden="false" customHeight="true" outlineLevel="0" collapsed="false">
      <c r="A3" s="7" t="s">
        <v>212</v>
      </c>
      <c r="B3" s="7" t="s">
        <v>213</v>
      </c>
      <c r="C3" s="7" t="s">
        <v>214</v>
      </c>
    </row>
    <row r="4" customFormat="false" ht="15" hidden="false" customHeight="true" outlineLevel="0" collapsed="false">
      <c r="A4" s="16" t="s">
        <v>215</v>
      </c>
      <c r="B4" s="16" t="s">
        <v>216</v>
      </c>
      <c r="C4" s="38" t="s">
        <v>217</v>
      </c>
    </row>
    <row r="5" customFormat="false" ht="15" hidden="false" customHeight="true" outlineLevel="0" collapsed="false">
      <c r="A5" s="16" t="s">
        <v>218</v>
      </c>
      <c r="B5" s="16" t="s">
        <v>219</v>
      </c>
      <c r="C5" s="38" t="s">
        <v>220</v>
      </c>
    </row>
    <row r="6" customFormat="false" ht="15" hidden="false" customHeight="true" outlineLevel="0" collapsed="false">
      <c r="A6" s="16" t="s">
        <v>221</v>
      </c>
      <c r="B6" s="16" t="s">
        <v>222</v>
      </c>
      <c r="C6" s="38" t="s">
        <v>223</v>
      </c>
    </row>
    <row r="7" customFormat="false" ht="15" hidden="false" customHeight="true" outlineLevel="0" collapsed="false">
      <c r="A7" s="16" t="s">
        <v>224</v>
      </c>
      <c r="B7" s="16" t="s">
        <v>225</v>
      </c>
      <c r="C7" s="38" t="s">
        <v>226</v>
      </c>
    </row>
    <row r="8" customFormat="false" ht="15" hidden="false" customHeight="true" outlineLevel="0" collapsed="false">
      <c r="A8" s="16" t="s">
        <v>227</v>
      </c>
      <c r="B8" s="16" t="s">
        <v>228</v>
      </c>
      <c r="C8" s="38" t="s">
        <v>229</v>
      </c>
    </row>
    <row r="9" customFormat="false" ht="15" hidden="false" customHeight="true" outlineLevel="0" collapsed="false">
      <c r="A9" s="16" t="s">
        <v>230</v>
      </c>
      <c r="B9" s="16" t="s">
        <v>231</v>
      </c>
      <c r="C9" s="38" t="s">
        <v>232</v>
      </c>
    </row>
    <row r="10" customFormat="false" ht="15" hidden="false" customHeight="true" outlineLevel="0" collapsed="false">
      <c r="A10" s="16" t="s">
        <v>128</v>
      </c>
      <c r="B10" s="16" t="s">
        <v>233</v>
      </c>
      <c r="C10" s="38" t="s">
        <v>234</v>
      </c>
    </row>
    <row r="11" customFormat="false" ht="15" hidden="false" customHeight="true" outlineLevel="0" collapsed="false">
      <c r="A11" s="16" t="s">
        <v>235</v>
      </c>
      <c r="B11" s="16" t="s">
        <v>236</v>
      </c>
      <c r="C11" s="38" t="s">
        <v>237</v>
      </c>
    </row>
    <row r="12" customFormat="false" ht="15" hidden="false" customHeight="true" outlineLevel="0" collapsed="false">
      <c r="A12" s="16" t="s">
        <v>238</v>
      </c>
      <c r="B12" s="16" t="s">
        <v>239</v>
      </c>
      <c r="C12" s="38" t="s">
        <v>240</v>
      </c>
    </row>
    <row r="13" customFormat="false" ht="15" hidden="false" customHeight="true" outlineLevel="0" collapsed="false">
      <c r="A13" s="16" t="s">
        <v>241</v>
      </c>
      <c r="B13" s="16" t="s">
        <v>242</v>
      </c>
      <c r="C13" s="38" t="s">
        <v>243</v>
      </c>
    </row>
    <row r="14" customFormat="false" ht="15" hidden="false" customHeight="true" outlineLevel="0" collapsed="false">
      <c r="A14" s="16" t="s">
        <v>244</v>
      </c>
      <c r="B14" s="16" t="s">
        <v>245</v>
      </c>
      <c r="C14" s="38" t="s">
        <v>246</v>
      </c>
    </row>
    <row r="15" customFormat="false" ht="15" hidden="false" customHeight="true" outlineLevel="0" collapsed="false">
      <c r="A15" s="16" t="s">
        <v>247</v>
      </c>
      <c r="B15" s="16" t="s">
        <v>248</v>
      </c>
      <c r="C15" s="38" t="s">
        <v>249</v>
      </c>
    </row>
    <row r="16" customFormat="false" ht="15" hidden="false" customHeight="true" outlineLevel="0" collapsed="false">
      <c r="A16" s="16" t="s">
        <v>250</v>
      </c>
      <c r="B16" s="16" t="s">
        <v>251</v>
      </c>
      <c r="C16" s="38" t="s">
        <v>252</v>
      </c>
    </row>
    <row r="17" customFormat="false" ht="15" hidden="false" customHeight="true" outlineLevel="0" collapsed="false">
      <c r="A17" s="3"/>
      <c r="B17" s="3"/>
      <c r="C17" s="3"/>
    </row>
    <row r="18" customFormat="false" ht="15" hidden="false" customHeight="true" outlineLevel="0" collapsed="false">
      <c r="A18" s="4" t="s">
        <v>253</v>
      </c>
      <c r="B18" s="3"/>
      <c r="C18" s="3"/>
    </row>
  </sheetData>
  <hyperlinks>
    <hyperlink ref="C4" r:id="rId1" display="https://help.ingramspark.com/hc/en-us/articles/41657495062029-Changes-in-Print-Cost-Market-Access-Fee-and-More"/>
    <hyperlink ref="C5" r:id="rId2" display="https://www.ingramspark.com/"/>
    <hyperlink ref="C6" r:id="rId3" display="https://scribecount.com/author-resource/publishing-a-book/How-to-Publish-on-IngramSpark"/>
    <hyperlink ref="C7" r:id="rId4" display="https://danieljtortora.com/blog/self-publishing-royalties"/>
    <hyperlink ref="C8" r:id="rId5" display="https://profitable.app/tools/kdp-royalty-calculator"/>
    <hyperlink ref="C9" r:id="rId6" display="https://www.vappingo.com/word-blog/kdp-print-royalties/"/>
    <hyperlink ref="C10" r:id="rId7" display="https://bestwriting.com/kdp-royalties"/>
    <hyperlink ref="C11" r:id="rId8" display="https://help-press.barnesandnoble.com/hc/en-us/articles/5359658688923-Getting-Paid-for-Sales"/>
    <hyperlink ref="C12" r:id="rId9" display="https://blog.chapter.pub/lulu-pricing/"/>
    <hyperlink ref="C13" r:id="rId10" display="https://help.publishdrive.com/how-much-publishdrives-distribution-pricing-plans"/>
    <hyperlink ref="C14" r:id="rId11" display="https://publishdrive.com/publishdrive-vs-ingramspark-2026-pricing-royalties-distribution-and-features-compared.html"/>
    <hyperlink ref="C15" r:id="rId12" display="https://publishdrive.com/comparison-guide-publishdrive-vs-draft2digital.html"/>
    <hyperlink ref="C16" r:id="rId13" display="https://scribecount.com/tools/platform-compari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2026-10-12T03:28:37Z</dcterms:created>
  <dc:creator>openpyxl</dc:creator>
  <dc:description/>
  <dc:language>en-US</dc:language>
  <cp:lastModifiedBy/>
  <dcterms:modified xsi:type="dcterms:W3CDTF">2026-10-11T23:42:53Z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